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81924/Documents/TIL_ODE/Code/TIL_ODE_VC_GitHub/"/>
    </mc:Choice>
  </mc:AlternateContent>
  <xr:revisionPtr revIDLastSave="0" documentId="13_ncr:1_{571380AA-F24F-994D-9DCD-B722FE887E6E}" xr6:coauthVersionLast="47" xr6:coauthVersionMax="47" xr10:uidLastSave="{00000000-0000-0000-0000-000000000000}"/>
  <bookViews>
    <workbookView xWindow="35280" yWindow="3880" windowWidth="30240" windowHeight="17480" activeTab="2" xr2:uid="{05953525-80FA-E54D-AD0E-B026BAC50B08}"/>
  </bookViews>
  <sheets>
    <sheet name="day 14" sheetId="3" r:id="rId1"/>
    <sheet name="day 17" sheetId="2" r:id="rId2"/>
    <sheet name="day 23" sheetId="1" r:id="rId3"/>
    <sheet name="collective data histology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G23" i="2"/>
  <c r="C7" i="3"/>
  <c r="B7" i="3"/>
  <c r="H4" i="2" l="1"/>
  <c r="G4" i="2"/>
  <c r="H6" i="2"/>
  <c r="H9" i="2"/>
  <c r="H10" i="2"/>
  <c r="H3" i="2"/>
  <c r="H5" i="2"/>
  <c r="G6" i="2"/>
  <c r="G9" i="2"/>
  <c r="G10" i="2"/>
  <c r="G3" i="2"/>
  <c r="G5" i="2"/>
  <c r="H14" i="1"/>
  <c r="H10" i="1"/>
  <c r="H9" i="1"/>
  <c r="H19" i="1" s="1"/>
  <c r="H11" i="1"/>
  <c r="H7" i="1"/>
  <c r="H8" i="1"/>
  <c r="H3" i="1"/>
  <c r="H5" i="1"/>
  <c r="G14" i="1"/>
  <c r="G10" i="1"/>
  <c r="G9" i="1"/>
  <c r="G11" i="1"/>
  <c r="G7" i="1"/>
  <c r="G8" i="1"/>
  <c r="G3" i="1"/>
  <c r="G5" i="1"/>
  <c r="H13" i="1"/>
  <c r="G13" i="1"/>
  <c r="G19" i="1" l="1"/>
  <c r="G23" i="1"/>
  <c r="H23" i="1"/>
  <c r="F13" i="1"/>
  <c r="F8" i="1"/>
  <c r="F3" i="1"/>
  <c r="H20" i="1"/>
  <c r="F9" i="2"/>
  <c r="F3" i="2"/>
  <c r="F4" i="2"/>
  <c r="F14" i="1"/>
  <c r="F20" i="1" s="1"/>
  <c r="F7" i="1"/>
  <c r="F11" i="1"/>
  <c r="F5" i="1"/>
  <c r="F9" i="1"/>
  <c r="F10" i="1"/>
  <c r="F5" i="2"/>
  <c r="F10" i="2"/>
  <c r="G18" i="2"/>
  <c r="F6" i="2"/>
  <c r="F18" i="2" s="1"/>
  <c r="G20" i="1"/>
  <c r="H18" i="2"/>
  <c r="H18" i="1"/>
  <c r="G17" i="2"/>
  <c r="G19" i="2"/>
  <c r="H17" i="2"/>
  <c r="G17" i="1"/>
  <c r="G18" i="1"/>
  <c r="H17" i="1"/>
  <c r="H19" i="2"/>
  <c r="G12" i="2"/>
  <c r="F19" i="1" l="1"/>
  <c r="F18" i="1"/>
  <c r="F17" i="1"/>
  <c r="F23" i="1"/>
  <c r="F19" i="2"/>
  <c r="F17" i="2"/>
  <c r="G20" i="2"/>
  <c r="H12" i="2"/>
  <c r="F12" i="2" s="1"/>
  <c r="F23" i="2" s="1"/>
  <c r="F20" i="2" l="1"/>
  <c r="H20" i="2"/>
</calcChain>
</file>

<file path=xl/sharedStrings.xml><?xml version="1.0" encoding="utf-8"?>
<sst xmlns="http://schemas.openxmlformats.org/spreadsheetml/2006/main" count="77" uniqueCount="49">
  <si>
    <t>Subject</t>
  </si>
  <si>
    <t>Area of CD8a in Tumor</t>
  </si>
  <si>
    <t>Area of Ly6G in tumor</t>
  </si>
  <si>
    <t>GEMOTI SmB</t>
  </si>
  <si>
    <t>GEMOTI SmA</t>
  </si>
  <si>
    <t xml:space="preserve">GEMOTI Lrg </t>
  </si>
  <si>
    <t>OTI SmB</t>
  </si>
  <si>
    <t>OTI SmA</t>
  </si>
  <si>
    <t xml:space="preserve">OTI Lrg </t>
  </si>
  <si>
    <t>GEM SmB</t>
  </si>
  <si>
    <t>GEM SmA</t>
  </si>
  <si>
    <t xml:space="preserve">GEM Lrg </t>
  </si>
  <si>
    <t>UNTX SmB</t>
  </si>
  <si>
    <t>UNTX SmA</t>
  </si>
  <si>
    <t xml:space="preserve">UNTX Lrg </t>
  </si>
  <si>
    <t>% Ly6G</t>
  </si>
  <si>
    <t>% CD8a</t>
  </si>
  <si>
    <t>% cancer</t>
  </si>
  <si>
    <t>GEMOTI 12</t>
  </si>
  <si>
    <t>GEMOTI 4</t>
  </si>
  <si>
    <t>GEM 7</t>
  </si>
  <si>
    <t>OTI 11</t>
  </si>
  <si>
    <t>OTI 1</t>
  </si>
  <si>
    <t>UNTX 2</t>
  </si>
  <si>
    <t>UNTX 8</t>
  </si>
  <si>
    <t>UNTX 14</t>
  </si>
  <si>
    <t>Area of tumor (in micrometers^2)</t>
  </si>
  <si>
    <t xml:space="preserve">Note: </t>
  </si>
  <si>
    <t>All areas are in micrometers^2</t>
  </si>
  <si>
    <t>Average % (out of 100):</t>
  </si>
  <si>
    <t>Treatment</t>
  </si>
  <si>
    <t>UNTX</t>
  </si>
  <si>
    <t>GEM</t>
  </si>
  <si>
    <t># MDSCs/mg tumor</t>
  </si>
  <si>
    <t>#CD8/mg tumor</t>
  </si>
  <si>
    <t>% CD8</t>
  </si>
  <si>
    <t>HISTOLOGY DATA</t>
  </si>
  <si>
    <t>OT1</t>
  </si>
  <si>
    <t>GEM OT1</t>
  </si>
  <si>
    <t>% MDSC</t>
  </si>
  <si>
    <t>% cancer*</t>
  </si>
  <si>
    <t>DAY 17 (histology)</t>
  </si>
  <si>
    <t>DAY 23 (histology)</t>
  </si>
  <si>
    <t>*assumes tumor = C+T+M (ie anything that is not CD8 and Ly6G/MDSC in the tumor is cancer)</t>
  </si>
  <si>
    <t>DAY 0 (tumor implantation)</t>
  </si>
  <si>
    <t>Ratio of Gem:Untx</t>
  </si>
  <si>
    <t>~above % out of 1 (for MATLAB)~</t>
  </si>
  <si>
    <t>FLOW CYTOMETRY DATA (Fig 4 of Bazargan et al. (2023) paper)</t>
  </si>
  <si>
    <t xml:space="preserve">*assumes tumor = C+T+M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</si>
</sst>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79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2" fontId="0" fillId="5" borderId="0" xfId="0" applyNumberFormat="1" applyFill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11" xfId="0" applyFont="1" applyBorder="1"/>
    <xf numFmtId="0" fontId="2" fillId="0" borderId="3" xfId="0" applyFont="1" applyBorder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3" fillId="6" borderId="8" xfId="0" applyFont="1" applyFill="1" applyBorder="1"/>
    <xf numFmtId="0" fontId="3" fillId="6" borderId="0" xfId="0" applyFont="1" applyFill="1"/>
    <xf numFmtId="0" fontId="3" fillId="6" borderId="5" xfId="0" applyFont="1" applyFill="1" applyBorder="1"/>
    <xf numFmtId="0" fontId="3" fillId="7" borderId="9" xfId="0" applyFont="1" applyFill="1" applyBorder="1"/>
    <xf numFmtId="0" fontId="3" fillId="7" borderId="0" xfId="0" applyFont="1" applyFill="1"/>
    <xf numFmtId="0" fontId="3" fillId="7" borderId="5" xfId="0" applyFont="1" applyFill="1" applyBorder="1"/>
    <xf numFmtId="0" fontId="3" fillId="8" borderId="9" xfId="0" applyFont="1" applyFill="1" applyBorder="1"/>
    <xf numFmtId="0" fontId="3" fillId="8" borderId="0" xfId="0" applyFont="1" applyFill="1"/>
    <xf numFmtId="0" fontId="3" fillId="8" borderId="5" xfId="0" applyFont="1" applyFill="1" applyBorder="1"/>
    <xf numFmtId="0" fontId="3" fillId="9" borderId="10" xfId="0" applyFont="1" applyFill="1" applyBorder="1"/>
    <xf numFmtId="0" fontId="3" fillId="9" borderId="6" xfId="0" applyFont="1" applyFill="1" applyBorder="1"/>
    <xf numFmtId="0" fontId="3" fillId="9" borderId="7" xfId="0" applyFont="1" applyFill="1" applyBorder="1"/>
    <xf numFmtId="0" fontId="2" fillId="10" borderId="0" xfId="0" applyFont="1" applyFill="1"/>
    <xf numFmtId="0" fontId="3" fillId="0" borderId="0" xfId="0" applyFont="1" applyFill="1"/>
    <xf numFmtId="0" fontId="2" fillId="0" borderId="0" xfId="0" applyFont="1" applyFill="1"/>
    <xf numFmtId="0" fontId="0" fillId="0" borderId="0" xfId="0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7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9AF9-5AF9-AE40-A2F4-D49005CC6277}">
  <dimension ref="A1:C7"/>
  <sheetViews>
    <sheetView workbookViewId="0">
      <selection activeCell="F9" sqref="F9"/>
    </sheetView>
  </sheetViews>
  <sheetFormatPr baseColWidth="10" defaultRowHeight="16" x14ac:dyDescent="0.2"/>
  <cols>
    <col min="1" max="1" width="21.83203125" customWidth="1"/>
    <col min="2" max="2" width="16.83203125" customWidth="1"/>
    <col min="4" max="4" width="12.1640625" bestFit="1" customWidth="1"/>
    <col min="8" max="9" width="12.1640625" bestFit="1" customWidth="1"/>
  </cols>
  <sheetData>
    <row r="1" spans="1:3" x14ac:dyDescent="0.2">
      <c r="A1" t="s">
        <v>47</v>
      </c>
    </row>
    <row r="2" spans="1:3" x14ac:dyDescent="0.2">
      <c r="A2" t="s">
        <v>30</v>
      </c>
      <c r="B2" t="s">
        <v>34</v>
      </c>
      <c r="C2" t="s">
        <v>33</v>
      </c>
    </row>
    <row r="3" spans="1:3" s="8" customFormat="1" x14ac:dyDescent="0.2">
      <c r="A3" s="8" t="s">
        <v>31</v>
      </c>
      <c r="B3" s="8">
        <v>433.6</v>
      </c>
      <c r="C3" s="8">
        <v>2010</v>
      </c>
    </row>
    <row r="4" spans="1:3" s="6" customFormat="1" x14ac:dyDescent="0.2">
      <c r="A4" s="6" t="s">
        <v>32</v>
      </c>
      <c r="B4" s="6">
        <v>179.1</v>
      </c>
      <c r="C4" s="6">
        <v>1090</v>
      </c>
    </row>
    <row r="7" spans="1:3" x14ac:dyDescent="0.2">
      <c r="A7" t="s">
        <v>45</v>
      </c>
      <c r="B7">
        <f>B4/B3</f>
        <v>0.41305350553505532</v>
      </c>
      <c r="C7">
        <f>C4/C3</f>
        <v>0.54228855721393032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E0C2-1F6E-624B-BE22-6D549C5214FF}">
  <dimension ref="A1:H23"/>
  <sheetViews>
    <sheetView workbookViewId="0">
      <selection activeCell="B22" sqref="B22"/>
    </sheetView>
  </sheetViews>
  <sheetFormatPr baseColWidth="10" defaultRowHeight="16" x14ac:dyDescent="0.2"/>
  <cols>
    <col min="2" max="2" width="26.6640625" customWidth="1"/>
    <col min="3" max="3" width="20.5" customWidth="1"/>
    <col min="4" max="4" width="19.6640625" customWidth="1"/>
    <col min="5" max="5" width="18" customWidth="1"/>
    <col min="6" max="6" width="13.6640625" customWidth="1"/>
    <col min="7" max="7" width="12.33203125" customWidth="1"/>
    <col min="14" max="14" width="20.5" customWidth="1"/>
    <col min="15" max="15" width="15" customWidth="1"/>
    <col min="16" max="16" width="13.83203125" customWidth="1"/>
    <col min="17" max="17" width="21" customWidth="1"/>
  </cols>
  <sheetData>
    <row r="1" spans="1:8" x14ac:dyDescent="0.2">
      <c r="A1" t="s">
        <v>36</v>
      </c>
    </row>
    <row r="2" spans="1:8" s="1" customFormat="1" x14ac:dyDescent="0.2">
      <c r="A2" s="1" t="s">
        <v>0</v>
      </c>
      <c r="B2" s="1" t="s">
        <v>1</v>
      </c>
      <c r="C2" s="1" t="s">
        <v>2</v>
      </c>
      <c r="D2" s="1" t="s">
        <v>26</v>
      </c>
      <c r="F2" s="1" t="s">
        <v>40</v>
      </c>
      <c r="G2" s="1" t="s">
        <v>16</v>
      </c>
      <c r="H2" s="1" t="s">
        <v>15</v>
      </c>
    </row>
    <row r="3" spans="1:8" s="8" customFormat="1" x14ac:dyDescent="0.2">
      <c r="A3" s="8" t="s">
        <v>23</v>
      </c>
      <c r="B3" s="8">
        <v>51430</v>
      </c>
      <c r="C3" s="8">
        <v>565263</v>
      </c>
      <c r="D3" s="8">
        <v>5584660</v>
      </c>
      <c r="F3" s="8">
        <f>1-(G3+H3)</f>
        <v>0.88957376098097285</v>
      </c>
      <c r="G3" s="8">
        <f>B3/D3</f>
        <v>9.209155078375407E-3</v>
      </c>
      <c r="H3" s="8">
        <f>C3/D3</f>
        <v>0.10121708394065171</v>
      </c>
    </row>
    <row r="4" spans="1:8" s="8" customFormat="1" x14ac:dyDescent="0.2">
      <c r="A4" s="8" t="s">
        <v>24</v>
      </c>
      <c r="B4" s="8">
        <v>105982</v>
      </c>
      <c r="C4" s="8">
        <v>1510167</v>
      </c>
      <c r="D4" s="8">
        <v>25234400</v>
      </c>
      <c r="F4" s="8">
        <f>1-(G4+H4)</f>
        <v>0.93595453032368514</v>
      </c>
      <c r="G4" s="8">
        <f>B4/D4</f>
        <v>4.199901721459595E-3</v>
      </c>
      <c r="H4" s="8">
        <f>C4/D4</f>
        <v>5.9845567954855274E-2</v>
      </c>
    </row>
    <row r="5" spans="1:8" s="8" customFormat="1" x14ac:dyDescent="0.2">
      <c r="A5" s="8" t="s">
        <v>25</v>
      </c>
      <c r="B5" s="8">
        <v>77592</v>
      </c>
      <c r="C5" s="8">
        <v>556484</v>
      </c>
      <c r="D5" s="8">
        <v>8843570</v>
      </c>
      <c r="F5" s="8">
        <f>1-(G5+H5)</f>
        <v>0.92830090110667973</v>
      </c>
      <c r="G5" s="8">
        <f>B5/D5</f>
        <v>8.7738322871871877E-3</v>
      </c>
      <c r="H5" s="8">
        <f>C5/D5</f>
        <v>6.292526660613304E-2</v>
      </c>
    </row>
    <row r="6" spans="1:8" s="6" customFormat="1" x14ac:dyDescent="0.2">
      <c r="A6" s="6" t="s">
        <v>20</v>
      </c>
      <c r="B6" s="6">
        <v>61677</v>
      </c>
      <c r="C6" s="6">
        <v>1294711</v>
      </c>
      <c r="D6" s="6">
        <v>8784041</v>
      </c>
      <c r="F6" s="6">
        <f>1-(G6+H6)</f>
        <v>0.84558496482427614</v>
      </c>
      <c r="G6" s="6">
        <f>B6/D6</f>
        <v>7.0214836201242681E-3</v>
      </c>
      <c r="H6" s="6">
        <f>C6/D6</f>
        <v>0.14739355155559952</v>
      </c>
    </row>
    <row r="7" spans="1:8" s="6" customFormat="1" x14ac:dyDescent="0.2"/>
    <row r="8" spans="1:8" s="6" customFormat="1" x14ac:dyDescent="0.2"/>
    <row r="9" spans="1:8" s="4" customFormat="1" x14ac:dyDescent="0.2">
      <c r="A9" s="4" t="s">
        <v>21</v>
      </c>
      <c r="B9" s="4">
        <v>1827</v>
      </c>
      <c r="C9" s="4">
        <v>2763</v>
      </c>
      <c r="D9" s="4">
        <v>277679</v>
      </c>
      <c r="F9" s="4">
        <f>1-(G9+H9)</f>
        <v>0.98347012197537442</v>
      </c>
      <c r="G9" s="4">
        <f>B9/D9</f>
        <v>6.5795396843117415E-3</v>
      </c>
      <c r="H9" s="4">
        <f>C9/D9</f>
        <v>9.9503383403138149E-3</v>
      </c>
    </row>
    <row r="10" spans="1:8" s="4" customFormat="1" x14ac:dyDescent="0.2">
      <c r="A10" s="4" t="s">
        <v>22</v>
      </c>
      <c r="B10" s="4">
        <v>58908</v>
      </c>
      <c r="C10" s="4">
        <v>191349</v>
      </c>
      <c r="D10" s="4">
        <v>7212590</v>
      </c>
      <c r="F10" s="4">
        <f>1-(G10+H10)</f>
        <v>0.96530275532090415</v>
      </c>
      <c r="G10" s="4">
        <f>B10/D10</f>
        <v>8.1673850863559407E-3</v>
      </c>
      <c r="H10" s="4">
        <f>C10/D10</f>
        <v>2.6529859592739916E-2</v>
      </c>
    </row>
    <row r="11" spans="1:8" s="4" customFormat="1" x14ac:dyDescent="0.2"/>
    <row r="12" spans="1:8" s="2" customFormat="1" x14ac:dyDescent="0.2">
      <c r="A12" s="2" t="s">
        <v>18</v>
      </c>
      <c r="B12" s="2">
        <v>11683</v>
      </c>
      <c r="C12" s="2">
        <v>15600</v>
      </c>
      <c r="D12" s="2">
        <v>642707</v>
      </c>
      <c r="F12" s="2">
        <f>1-(G12+H12)</f>
        <v>0.95754986331252034</v>
      </c>
      <c r="G12" s="2">
        <f>B12/D12</f>
        <v>1.8177801081986036E-2</v>
      </c>
      <c r="H12" s="2">
        <f>C12/D12</f>
        <v>2.4272335605493637E-2</v>
      </c>
    </row>
    <row r="13" spans="1:8" s="2" customFormat="1" x14ac:dyDescent="0.2">
      <c r="A13" s="2" t="s">
        <v>19</v>
      </c>
      <c r="B13" s="2">
        <v>0</v>
      </c>
      <c r="C13" s="2">
        <v>0</v>
      </c>
      <c r="D13" s="2">
        <v>0</v>
      </c>
    </row>
    <row r="14" spans="1:8" s="2" customFormat="1" x14ac:dyDescent="0.2"/>
    <row r="17" spans="2:8" x14ac:dyDescent="0.2">
      <c r="E17" s="8" t="s">
        <v>29</v>
      </c>
      <c r="F17" s="8">
        <f>AVERAGE(F3:F5)*100</f>
        <v>91.794306413711254</v>
      </c>
      <c r="G17" s="8">
        <f>AVERAGE(G3:G5)*100</f>
        <v>0.7394296362340731</v>
      </c>
      <c r="H17" s="8">
        <f>AVERAGE(H3:H5)*100</f>
        <v>7.4662639500546675</v>
      </c>
    </row>
    <row r="18" spans="2:8" x14ac:dyDescent="0.2">
      <c r="E18" s="6" t="s">
        <v>29</v>
      </c>
      <c r="F18" s="6">
        <f>F6*100</f>
        <v>84.558496482427614</v>
      </c>
      <c r="G18" s="6">
        <f>G6*100</f>
        <v>0.70214836201242681</v>
      </c>
      <c r="H18" s="6">
        <f>H6*100</f>
        <v>14.739355155559952</v>
      </c>
    </row>
    <row r="19" spans="2:8" x14ac:dyDescent="0.2">
      <c r="E19" s="4" t="s">
        <v>29</v>
      </c>
      <c r="F19" s="4">
        <f>AVERAGE(F9:F10)*100</f>
        <v>97.43864386481394</v>
      </c>
      <c r="G19" s="4">
        <f>AVERAGE(G9:G10)*100</f>
        <v>0.7373462385333841</v>
      </c>
      <c r="H19" s="4">
        <f>AVERAGE(H9:H10)*100</f>
        <v>1.8240098966526865</v>
      </c>
    </row>
    <row r="20" spans="2:8" x14ac:dyDescent="0.2">
      <c r="E20" s="2" t="s">
        <v>29</v>
      </c>
      <c r="F20" s="2">
        <f>AVERAGE(F12)*100</f>
        <v>95.754986331252042</v>
      </c>
      <c r="G20" s="2">
        <f>AVERAGE(G12)*100</f>
        <v>1.8177801081986036</v>
      </c>
      <c r="H20" s="2">
        <f>AVERAGE(H12)*100</f>
        <v>2.4272335605493636</v>
      </c>
    </row>
    <row r="21" spans="2:8" x14ac:dyDescent="0.2">
      <c r="B21" t="s">
        <v>27</v>
      </c>
    </row>
    <row r="22" spans="2:8" x14ac:dyDescent="0.2">
      <c r="B22" s="34" t="s">
        <v>48</v>
      </c>
    </row>
    <row r="23" spans="2:8" x14ac:dyDescent="0.2">
      <c r="B23" t="s">
        <v>28</v>
      </c>
      <c r="C23" s="33"/>
      <c r="E23" t="s">
        <v>29</v>
      </c>
      <c r="F23">
        <f>AVERAGE(F3:F6,F9:F10,F12)*100</f>
        <v>92.939098540634461</v>
      </c>
      <c r="G23">
        <f>AVERAGE(G3:G6,G9:G10,G12)*100</f>
        <v>0.88755855085428836</v>
      </c>
      <c r="H23">
        <f>AVERAGE(H3:H6,H9:H10,H12)*100</f>
        <v>6.1733429085112412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54AB-2AAD-A84D-B289-54DB83EC0937}">
  <dimension ref="A1:H28"/>
  <sheetViews>
    <sheetView tabSelected="1" workbookViewId="0">
      <selection activeCell="F3" sqref="F3"/>
    </sheetView>
  </sheetViews>
  <sheetFormatPr baseColWidth="10" defaultRowHeight="16" x14ac:dyDescent="0.2"/>
  <cols>
    <col min="1" max="1" width="12.6640625" customWidth="1"/>
    <col min="2" max="2" width="23" customWidth="1"/>
    <col min="3" max="3" width="22.83203125" customWidth="1"/>
    <col min="4" max="4" width="22" customWidth="1"/>
    <col min="5" max="5" width="20" customWidth="1"/>
    <col min="6" max="6" width="13" customWidth="1"/>
    <col min="7" max="7" width="12.83203125" customWidth="1"/>
    <col min="8" max="8" width="13.5" customWidth="1"/>
    <col min="14" max="14" width="19" customWidth="1"/>
    <col min="15" max="15" width="14.33203125" customWidth="1"/>
    <col min="16" max="16" width="13.6640625" customWidth="1"/>
    <col min="17" max="17" width="15" customWidth="1"/>
    <col min="18" max="18" width="13.5" customWidth="1"/>
    <col min="19" max="19" width="11.1640625" bestFit="1" customWidth="1"/>
    <col min="22" max="22" width="30" customWidth="1"/>
  </cols>
  <sheetData>
    <row r="1" spans="1:8" x14ac:dyDescent="0.2">
      <c r="A1" t="s">
        <v>36</v>
      </c>
    </row>
    <row r="2" spans="1:8" s="1" customFormat="1" x14ac:dyDescent="0.2">
      <c r="A2" s="1" t="s">
        <v>0</v>
      </c>
      <c r="B2" s="1" t="s">
        <v>1</v>
      </c>
      <c r="C2" s="1" t="s">
        <v>2</v>
      </c>
      <c r="D2" s="1" t="s">
        <v>26</v>
      </c>
      <c r="F2" s="1" t="s">
        <v>40</v>
      </c>
      <c r="G2" s="1" t="s">
        <v>16</v>
      </c>
      <c r="H2" s="1" t="s">
        <v>15</v>
      </c>
    </row>
    <row r="3" spans="1:8" s="8" customFormat="1" x14ac:dyDescent="0.2">
      <c r="A3" s="8" t="s">
        <v>13</v>
      </c>
      <c r="B3" s="8">
        <v>41988</v>
      </c>
      <c r="C3" s="8">
        <v>71607</v>
      </c>
      <c r="D3" s="9">
        <v>14354712.534537699</v>
      </c>
      <c r="F3" s="8">
        <f>1-(G3+H3)</f>
        <v>0.99208657089254215</v>
      </c>
      <c r="G3" s="8">
        <f>B3/D3</f>
        <v>2.9250324518151172E-3</v>
      </c>
      <c r="H3" s="8">
        <f>C3/D3</f>
        <v>4.988396655642686E-3</v>
      </c>
    </row>
    <row r="4" spans="1:8" s="8" customFormat="1" x14ac:dyDescent="0.2">
      <c r="A4" s="8" t="s">
        <v>12</v>
      </c>
      <c r="B4" s="8">
        <v>0</v>
      </c>
      <c r="C4" s="8">
        <v>0</v>
      </c>
      <c r="D4" s="9">
        <v>0</v>
      </c>
    </row>
    <row r="5" spans="1:8" s="8" customFormat="1" x14ac:dyDescent="0.2">
      <c r="A5" s="8" t="s">
        <v>14</v>
      </c>
      <c r="B5" s="8">
        <v>711110</v>
      </c>
      <c r="C5" s="8">
        <v>735317</v>
      </c>
      <c r="D5" s="9">
        <v>106215865.461215</v>
      </c>
      <c r="F5" s="8">
        <f>1-(G5+H5)</f>
        <v>0.98638219447048459</v>
      </c>
      <c r="G5" s="8">
        <f>B5/D5</f>
        <v>6.6949508617397992E-3</v>
      </c>
      <c r="H5" s="8">
        <f>C5/D5</f>
        <v>6.9228546677756238E-3</v>
      </c>
    </row>
    <row r="6" spans="1:8" s="6" customFormat="1" x14ac:dyDescent="0.2">
      <c r="A6" s="6" t="s">
        <v>10</v>
      </c>
      <c r="B6" s="6">
        <v>0</v>
      </c>
      <c r="C6" s="6">
        <v>0</v>
      </c>
      <c r="D6" s="7">
        <v>0</v>
      </c>
    </row>
    <row r="7" spans="1:8" s="6" customFormat="1" x14ac:dyDescent="0.2">
      <c r="A7" s="6" t="s">
        <v>9</v>
      </c>
      <c r="B7" s="6">
        <v>46919</v>
      </c>
      <c r="C7" s="6">
        <v>79150</v>
      </c>
      <c r="D7" s="7">
        <v>9893722.0196334198</v>
      </c>
      <c r="F7" s="6">
        <f>1-(G7+H7)</f>
        <v>0.98725767716640667</v>
      </c>
      <c r="G7" s="6">
        <f>B7/D7</f>
        <v>4.7423002088488467E-3</v>
      </c>
      <c r="H7" s="6">
        <f>C7/D7</f>
        <v>8.0000226247444791E-3</v>
      </c>
    </row>
    <row r="8" spans="1:8" s="6" customFormat="1" x14ac:dyDescent="0.2">
      <c r="A8" s="6" t="s">
        <v>11</v>
      </c>
      <c r="B8" s="6">
        <v>13342</v>
      </c>
      <c r="C8" s="6">
        <v>35169</v>
      </c>
      <c r="D8" s="7">
        <v>33341919.672152299</v>
      </c>
      <c r="F8" s="6">
        <f>1-(G8+H8)</f>
        <v>0.998545044782154</v>
      </c>
      <c r="G8" s="6">
        <f>B8/D8</f>
        <v>4.0015692351221904E-4</v>
      </c>
      <c r="H8" s="6">
        <f>C8/D8</f>
        <v>1.0547982943337755E-3</v>
      </c>
    </row>
    <row r="9" spans="1:8" s="4" customFormat="1" x14ac:dyDescent="0.2">
      <c r="A9" s="4" t="s">
        <v>7</v>
      </c>
      <c r="B9" s="4">
        <v>856</v>
      </c>
      <c r="C9" s="4">
        <v>191300</v>
      </c>
      <c r="D9" s="5">
        <v>1292276.70544106</v>
      </c>
      <c r="F9" s="4">
        <f>1-(G9+H9)</f>
        <v>0.85130429172719913</v>
      </c>
      <c r="G9" s="4">
        <f>B9/D9</f>
        <v>6.6239683528756578E-4</v>
      </c>
      <c r="H9" s="4">
        <f>C9/D9</f>
        <v>0.14803331143751325</v>
      </c>
    </row>
    <row r="10" spans="1:8" s="4" customFormat="1" x14ac:dyDescent="0.2">
      <c r="A10" s="4" t="s">
        <v>6</v>
      </c>
      <c r="B10" s="4">
        <v>13483</v>
      </c>
      <c r="C10" s="4">
        <v>141321</v>
      </c>
      <c r="D10" s="5">
        <v>9893722.0196334198</v>
      </c>
      <c r="F10" s="4">
        <f>1-(G10+H10)</f>
        <v>0.98435331014022809</v>
      </c>
      <c r="G10" s="4">
        <f>B10/D10</f>
        <v>1.3627833866005029E-3</v>
      </c>
      <c r="H10" s="4">
        <f>C10/D10</f>
        <v>1.4283906473171378E-2</v>
      </c>
    </row>
    <row r="11" spans="1:8" s="4" customFormat="1" x14ac:dyDescent="0.2">
      <c r="A11" s="4" t="s">
        <v>8</v>
      </c>
      <c r="B11" s="4">
        <v>4052</v>
      </c>
      <c r="C11" s="4">
        <v>25813</v>
      </c>
      <c r="D11" s="5">
        <v>5355240.30431931</v>
      </c>
      <c r="F11" s="4">
        <f>1-(G11+H11)</f>
        <v>0.99442321944434275</v>
      </c>
      <c r="G11" s="4">
        <f>B11/D11</f>
        <v>7.5664204960734034E-4</v>
      </c>
      <c r="H11" s="4">
        <f>C11/D11</f>
        <v>4.8201385060499206E-3</v>
      </c>
    </row>
    <row r="12" spans="1:8" s="2" customFormat="1" x14ac:dyDescent="0.2">
      <c r="A12" s="2" t="s">
        <v>4</v>
      </c>
      <c r="B12" s="2">
        <v>0</v>
      </c>
      <c r="C12" s="2">
        <v>0</v>
      </c>
      <c r="D12" s="3">
        <v>0</v>
      </c>
    </row>
    <row r="13" spans="1:8" s="2" customFormat="1" x14ac:dyDescent="0.2">
      <c r="A13" s="2" t="s">
        <v>3</v>
      </c>
      <c r="B13" s="2">
        <v>5164</v>
      </c>
      <c r="C13" s="2">
        <v>372970</v>
      </c>
      <c r="D13" s="3">
        <v>4395775.1332402797</v>
      </c>
      <c r="F13" s="2">
        <f>1-(G13+H13)</f>
        <v>0.91397785634196804</v>
      </c>
      <c r="G13" s="2">
        <f>B13/D13</f>
        <v>1.1747643688482842E-3</v>
      </c>
      <c r="H13" s="2">
        <f>C13/D13</f>
        <v>8.4847379289183691E-2</v>
      </c>
    </row>
    <row r="14" spans="1:8" s="2" customFormat="1" x14ac:dyDescent="0.2">
      <c r="A14" s="2" t="s">
        <v>5</v>
      </c>
      <c r="B14" s="2">
        <v>4516</v>
      </c>
      <c r="C14" s="2">
        <v>3200</v>
      </c>
      <c r="D14" s="3">
        <v>11545990.3758485</v>
      </c>
      <c r="F14" s="2">
        <f>1-(G14+H14)</f>
        <v>0.99933171605476645</v>
      </c>
      <c r="G14" s="2">
        <f>B14/D14</f>
        <v>3.9113145369031412E-4</v>
      </c>
      <c r="H14" s="2">
        <f>C14/D14</f>
        <v>2.7715249154318096E-4</v>
      </c>
    </row>
    <row r="17" spans="2:8" x14ac:dyDescent="0.2">
      <c r="E17" s="8" t="s">
        <v>29</v>
      </c>
      <c r="F17" s="8">
        <f>AVERAGE(F3:F5)*100</f>
        <v>98.92343826815133</v>
      </c>
      <c r="G17" s="8">
        <f>AVERAGE(G3:G5)*100</f>
        <v>0.48099916567774581</v>
      </c>
      <c r="H17" s="8">
        <f>AVERAGE(H3:H5)*100</f>
        <v>0.59556256617091552</v>
      </c>
    </row>
    <row r="18" spans="2:8" x14ac:dyDescent="0.2">
      <c r="E18" s="6" t="s">
        <v>29</v>
      </c>
      <c r="F18" s="6">
        <f>AVERAGE(F7,F8)*100</f>
        <v>99.290136097428032</v>
      </c>
      <c r="G18" s="6">
        <f>AVERAGE(G7,G8)*100</f>
        <v>0.25712285661805329</v>
      </c>
      <c r="H18" s="6">
        <f>AVERAGE(H7,H8)*100</f>
        <v>0.45274104595391274</v>
      </c>
    </row>
    <row r="19" spans="2:8" x14ac:dyDescent="0.2">
      <c r="E19" s="4" t="s">
        <v>29</v>
      </c>
      <c r="F19" s="4">
        <f>AVERAGE(F9:F11)*100</f>
        <v>94.336027377059011</v>
      </c>
      <c r="G19" s="4">
        <f t="shared" ref="G19:H19" si="0">AVERAGE(G9:G11)*100</f>
        <v>9.2727409049846984E-2</v>
      </c>
      <c r="H19" s="4">
        <f t="shared" si="0"/>
        <v>5.5712452138911512</v>
      </c>
    </row>
    <row r="20" spans="2:8" x14ac:dyDescent="0.2">
      <c r="E20" s="2" t="s">
        <v>29</v>
      </c>
      <c r="F20" s="2">
        <f>AVERAGE(F13,F14)*100</f>
        <v>95.665478619836719</v>
      </c>
      <c r="G20" s="2">
        <f>AVERAGE(G13,G14)*100</f>
        <v>7.8294791126929913E-2</v>
      </c>
      <c r="H20" s="2">
        <f>AVERAGE(H13,H14)*100</f>
        <v>4.256226589036344</v>
      </c>
    </row>
    <row r="21" spans="2:8" x14ac:dyDescent="0.2">
      <c r="B21" t="s">
        <v>27</v>
      </c>
    </row>
    <row r="22" spans="2:8" x14ac:dyDescent="0.2">
      <c r="B22" s="34" t="s">
        <v>48</v>
      </c>
    </row>
    <row r="23" spans="2:8" x14ac:dyDescent="0.2">
      <c r="B23" t="s">
        <v>28</v>
      </c>
      <c r="E23" t="s">
        <v>29</v>
      </c>
      <c r="F23">
        <f>AVERAGE(F13,F14,F7,F8,F3:F5,F10:F11)*100</f>
        <v>98.204469866161162</v>
      </c>
      <c r="G23">
        <f>AVERAGE(G13,G14,G7,G8,G3:G5,G10:G11)*100</f>
        <v>0.23059702130828033</v>
      </c>
      <c r="H23">
        <f>AVERAGE(H13,H14,H7,H8,H3:H5,H10:H11)*100</f>
        <v>1.5649331125305592</v>
      </c>
    </row>
    <row r="26" spans="2:8" x14ac:dyDescent="0.2">
      <c r="E26" s="33"/>
      <c r="F26" s="32"/>
      <c r="G26" s="33"/>
    </row>
    <row r="27" spans="2:8" x14ac:dyDescent="0.2">
      <c r="E27" s="33"/>
      <c r="F27" s="33"/>
      <c r="G27" s="33"/>
    </row>
    <row r="28" spans="2:8" x14ac:dyDescent="0.2">
      <c r="E28" s="33"/>
      <c r="F28" s="33"/>
      <c r="G28" s="33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2D36-90FA-B049-B18F-DF02EDE1DE97}">
  <dimension ref="A1:N34"/>
  <sheetViews>
    <sheetView workbookViewId="0">
      <selection activeCell="B11" sqref="B11"/>
    </sheetView>
  </sheetViews>
  <sheetFormatPr baseColWidth="10" defaultRowHeight="16" x14ac:dyDescent="0.2"/>
  <sheetData>
    <row r="1" spans="1:14" x14ac:dyDescent="0.2">
      <c r="A1" s="10"/>
      <c r="B1" s="11" t="s">
        <v>44</v>
      </c>
      <c r="C1" s="12"/>
      <c r="D1" s="13"/>
      <c r="E1" s="11" t="s">
        <v>41</v>
      </c>
      <c r="F1" s="12"/>
      <c r="G1" s="14"/>
      <c r="H1" s="11" t="s">
        <v>42</v>
      </c>
      <c r="I1" s="12"/>
      <c r="J1" s="14"/>
      <c r="N1" s="10"/>
    </row>
    <row r="2" spans="1:14" x14ac:dyDescent="0.2">
      <c r="A2" s="15"/>
      <c r="B2" s="16" t="s">
        <v>17</v>
      </c>
      <c r="C2" s="10" t="s">
        <v>35</v>
      </c>
      <c r="D2" s="17" t="s">
        <v>39</v>
      </c>
      <c r="E2" s="10" t="s">
        <v>40</v>
      </c>
      <c r="F2" s="10" t="s">
        <v>35</v>
      </c>
      <c r="G2" s="17" t="s">
        <v>39</v>
      </c>
      <c r="H2" s="10" t="s">
        <v>40</v>
      </c>
      <c r="I2" s="10" t="s">
        <v>35</v>
      </c>
      <c r="J2" s="17" t="s">
        <v>39</v>
      </c>
      <c r="N2" s="15"/>
    </row>
    <row r="3" spans="1:14" x14ac:dyDescent="0.2">
      <c r="A3" s="18" t="s">
        <v>31</v>
      </c>
      <c r="B3" s="19">
        <v>1</v>
      </c>
      <c r="C3" s="19">
        <v>0</v>
      </c>
      <c r="D3" s="20">
        <v>0</v>
      </c>
      <c r="E3" s="19">
        <v>0.91794306000000003</v>
      </c>
      <c r="F3" s="19">
        <v>7.3943000000000004E-3</v>
      </c>
      <c r="G3" s="20">
        <v>7.4662640000000002E-2</v>
      </c>
      <c r="H3" s="19">
        <v>0.98923437999999997</v>
      </c>
      <c r="I3" s="19">
        <v>4.8099900000000001E-3</v>
      </c>
      <c r="J3" s="20">
        <v>5.95563E-3</v>
      </c>
      <c r="N3" s="15"/>
    </row>
    <row r="4" spans="1:14" x14ac:dyDescent="0.2">
      <c r="A4" s="21" t="s">
        <v>32</v>
      </c>
      <c r="B4" s="22">
        <v>1</v>
      </c>
      <c r="C4" s="22">
        <v>0</v>
      </c>
      <c r="D4" s="23">
        <v>0</v>
      </c>
      <c r="E4" s="22">
        <v>0.84558496000000005</v>
      </c>
      <c r="F4" s="22">
        <v>7.0214800000000001E-3</v>
      </c>
      <c r="G4" s="23">
        <v>0.14739355000000001</v>
      </c>
      <c r="H4" s="22">
        <v>0.99290135999999996</v>
      </c>
      <c r="I4" s="22">
        <v>2.5712299999999999E-3</v>
      </c>
      <c r="J4" s="23">
        <v>4.5274099999999999E-3</v>
      </c>
      <c r="N4" s="15"/>
    </row>
    <row r="5" spans="1:14" x14ac:dyDescent="0.2">
      <c r="A5" s="24" t="s">
        <v>37</v>
      </c>
      <c r="B5" s="25">
        <v>1</v>
      </c>
      <c r="C5" s="25">
        <v>0</v>
      </c>
      <c r="D5" s="26">
        <v>0</v>
      </c>
      <c r="E5" s="25">
        <v>0.97438643999999996</v>
      </c>
      <c r="F5" s="25">
        <v>7.3734600000000001E-3</v>
      </c>
      <c r="G5" s="26">
        <v>1.8240099999999999E-2</v>
      </c>
      <c r="H5" s="25">
        <v>0.94336027</v>
      </c>
      <c r="I5" s="25">
        <v>9.2727E-4</v>
      </c>
      <c r="J5" s="26">
        <v>5.5712449999999997E-2</v>
      </c>
      <c r="N5" s="15"/>
    </row>
    <row r="6" spans="1:14" x14ac:dyDescent="0.2">
      <c r="A6" s="27" t="s">
        <v>38</v>
      </c>
      <c r="B6" s="28">
        <v>1</v>
      </c>
      <c r="C6" s="28">
        <v>0</v>
      </c>
      <c r="D6" s="29">
        <v>0</v>
      </c>
      <c r="E6" s="28">
        <v>0.95754985999999997</v>
      </c>
      <c r="F6" s="28">
        <v>1.8177800000000001E-2</v>
      </c>
      <c r="G6" s="29">
        <v>2.427234E-2</v>
      </c>
      <c r="H6" s="28">
        <v>0.95665478999999998</v>
      </c>
      <c r="I6" s="28">
        <v>7.8295000000000003E-4</v>
      </c>
      <c r="J6" s="29">
        <v>4.2562269999999999E-2</v>
      </c>
      <c r="N6" s="15"/>
    </row>
    <row r="7" spans="1:14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2">
      <c r="A9" s="15"/>
      <c r="B9" s="15"/>
      <c r="C9" s="15"/>
      <c r="D9" s="15"/>
      <c r="E9" s="10" t="s">
        <v>46</v>
      </c>
      <c r="F9" s="10"/>
      <c r="G9" s="10"/>
      <c r="H9" s="10"/>
      <c r="I9" s="15"/>
      <c r="J9" s="15"/>
      <c r="K9" s="15"/>
      <c r="L9" s="15"/>
      <c r="M9" s="15"/>
      <c r="N9" s="15"/>
    </row>
    <row r="10" spans="1:14" x14ac:dyDescent="0.2">
      <c r="A10" s="31"/>
      <c r="B10" s="31"/>
      <c r="C10" s="31"/>
      <c r="D10" s="31"/>
      <c r="E10" s="31"/>
      <c r="F10" s="15"/>
      <c r="G10" s="15"/>
      <c r="H10" s="15"/>
      <c r="I10" s="15"/>
      <c r="J10" s="15"/>
      <c r="K10" s="15"/>
      <c r="L10" s="15"/>
      <c r="M10" s="15"/>
      <c r="N10" s="15"/>
    </row>
    <row r="11" spans="1:14" x14ac:dyDescent="0.2">
      <c r="A11" s="15"/>
      <c r="B11" s="30" t="s">
        <v>43</v>
      </c>
      <c r="C11" s="30"/>
      <c r="D11" s="30"/>
      <c r="E11" s="30"/>
      <c r="F11" s="30"/>
      <c r="G11" s="30"/>
      <c r="H11" s="30"/>
      <c r="I11" s="15"/>
      <c r="J11" s="15"/>
      <c r="K11" s="15"/>
      <c r="L11" s="15"/>
      <c r="M11" s="15"/>
      <c r="N11" s="15"/>
    </row>
    <row r="13" spans="1:14" x14ac:dyDescent="0.2">
      <c r="A13" s="31"/>
      <c r="B13" s="31"/>
      <c r="C13" s="31"/>
      <c r="D13" s="31"/>
      <c r="E13" s="31"/>
      <c r="F13" s="15"/>
      <c r="G13" s="15"/>
      <c r="H13" s="15"/>
      <c r="I13" s="15"/>
      <c r="J13" s="15"/>
      <c r="K13" s="15"/>
      <c r="L13" s="15"/>
      <c r="M13" s="15"/>
      <c r="N13" s="15"/>
    </row>
    <row r="14" spans="1:14" x14ac:dyDescent="0.2">
      <c r="A14" s="31"/>
      <c r="B14" s="31"/>
      <c r="C14" s="31"/>
      <c r="D14" s="31"/>
      <c r="E14" s="31"/>
      <c r="F14" s="15"/>
      <c r="G14" s="15"/>
      <c r="H14" s="15"/>
      <c r="I14" s="15"/>
      <c r="J14" s="15"/>
      <c r="K14" s="15"/>
      <c r="L14" s="15"/>
      <c r="M14" s="15"/>
      <c r="N14" s="15"/>
    </row>
    <row r="15" spans="1:14" x14ac:dyDescent="0.2">
      <c r="A15" s="31"/>
      <c r="B15" s="31"/>
      <c r="C15" s="31"/>
      <c r="D15" s="31"/>
      <c r="E15" s="31"/>
      <c r="F15" s="15"/>
      <c r="G15" s="15"/>
      <c r="H15" s="15"/>
      <c r="I15" s="15"/>
      <c r="J15" s="15"/>
      <c r="K15" s="15"/>
      <c r="L15" s="15"/>
      <c r="M15" s="15"/>
      <c r="N15" s="15"/>
    </row>
    <row r="16" spans="1:14" x14ac:dyDescent="0.2">
      <c r="A16" s="31"/>
      <c r="B16" s="31"/>
      <c r="C16" s="31"/>
      <c r="D16" s="31"/>
      <c r="E16" s="31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">
      <c r="A17" s="31"/>
      <c r="B17" s="31"/>
      <c r="C17" s="31"/>
      <c r="D17" s="31"/>
      <c r="E17" s="31"/>
      <c r="F17" s="15"/>
      <c r="G17" s="15"/>
      <c r="H17" s="15"/>
      <c r="I17" s="15"/>
      <c r="J17" s="15"/>
      <c r="K17" s="15"/>
      <c r="L17" s="15"/>
      <c r="M17" s="15"/>
      <c r="N17" s="15"/>
    </row>
    <row r="18" spans="1:14" x14ac:dyDescent="0.2">
      <c r="A18" s="32"/>
      <c r="B18" s="32"/>
      <c r="C18" s="32"/>
      <c r="D18" s="32"/>
      <c r="E18" s="31"/>
      <c r="F18" s="15"/>
      <c r="G18" s="15"/>
      <c r="H18" s="15"/>
      <c r="I18" s="15"/>
      <c r="J18" s="15"/>
      <c r="K18" s="15"/>
      <c r="L18" s="15"/>
      <c r="M18" s="15"/>
      <c r="N18" s="15"/>
    </row>
    <row r="19" spans="1:14" x14ac:dyDescent="0.2">
      <c r="A19" s="31"/>
      <c r="B19" s="31"/>
      <c r="C19" s="31"/>
      <c r="D19" s="31"/>
      <c r="E19" s="31"/>
      <c r="F19" s="15"/>
      <c r="G19" s="15"/>
      <c r="H19" s="15"/>
      <c r="I19" s="15"/>
      <c r="J19" s="15"/>
      <c r="K19" s="15"/>
      <c r="L19" s="15"/>
      <c r="M19" s="15"/>
      <c r="N19" s="15"/>
    </row>
    <row r="20" spans="1:14" x14ac:dyDescent="0.2">
      <c r="A20" s="31"/>
      <c r="B20" s="31"/>
      <c r="C20" s="31"/>
      <c r="D20" s="31"/>
      <c r="E20" s="31"/>
      <c r="F20" s="15"/>
      <c r="G20" s="15"/>
      <c r="H20" s="15"/>
      <c r="I20" s="15"/>
      <c r="J20" s="15"/>
      <c r="K20" s="15"/>
      <c r="L20" s="15"/>
      <c r="M20" s="15"/>
      <c r="N20" s="15"/>
    </row>
    <row r="21" spans="1:14" x14ac:dyDescent="0.2">
      <c r="A21" s="31"/>
      <c r="B21" s="31"/>
      <c r="C21" s="31"/>
      <c r="D21" s="31"/>
      <c r="E21" s="31"/>
      <c r="F21" s="15"/>
      <c r="G21" s="15"/>
      <c r="H21" s="15"/>
      <c r="I21" s="15"/>
      <c r="J21" s="15"/>
      <c r="K21" s="15"/>
      <c r="L21" s="15"/>
      <c r="M21" s="15"/>
      <c r="N21" s="15"/>
    </row>
    <row r="22" spans="1:14" x14ac:dyDescent="0.2">
      <c r="A22" s="31"/>
      <c r="B22" s="31"/>
      <c r="C22" s="31"/>
      <c r="D22" s="31"/>
      <c r="E22" s="31"/>
      <c r="F22" s="15"/>
      <c r="G22" s="15"/>
      <c r="H22" s="15"/>
      <c r="I22" s="15"/>
      <c r="J22" s="15"/>
      <c r="K22" s="15"/>
      <c r="L22" s="15"/>
      <c r="M22" s="15"/>
      <c r="N22" s="15"/>
    </row>
    <row r="23" spans="1:14" x14ac:dyDescent="0.2">
      <c r="A23" s="31"/>
      <c r="B23" s="31"/>
      <c r="C23" s="31"/>
      <c r="D23" s="31"/>
      <c r="E23" s="31"/>
      <c r="F23" s="15"/>
      <c r="G23" s="15"/>
      <c r="H23" s="15"/>
      <c r="I23" s="15"/>
      <c r="J23" s="15"/>
      <c r="K23" s="15"/>
      <c r="L23" s="15"/>
      <c r="M23" s="15"/>
      <c r="N23" s="15"/>
    </row>
    <row r="24" spans="1:14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6" spans="1:14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1:14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1:14" x14ac:dyDescent="0.2">
      <c r="H28" s="15"/>
      <c r="I28" s="15"/>
      <c r="J28" s="15"/>
      <c r="K28" s="15"/>
      <c r="L28" s="15"/>
      <c r="M28" s="15"/>
      <c r="N28" s="15"/>
    </row>
    <row r="29" spans="1:14" x14ac:dyDescent="0.2">
      <c r="H29" s="15"/>
      <c r="I29" s="15"/>
      <c r="J29" s="15"/>
      <c r="K29" s="15"/>
      <c r="L29" s="15"/>
      <c r="M29" s="15"/>
      <c r="N29" s="15"/>
    </row>
    <row r="30" spans="1:14" x14ac:dyDescent="0.2">
      <c r="I30" s="15"/>
      <c r="J30" s="15"/>
      <c r="K30" s="15"/>
      <c r="L30" s="15"/>
      <c r="M30" s="15"/>
      <c r="N30" s="15"/>
    </row>
    <row r="31" spans="1:14" x14ac:dyDescent="0.2">
      <c r="H31" s="15"/>
      <c r="I31" s="15"/>
      <c r="J31" s="15"/>
      <c r="K31" s="15"/>
      <c r="L31" s="15"/>
      <c r="M31" s="15"/>
      <c r="N31" s="15"/>
    </row>
    <row r="32" spans="1:14" x14ac:dyDescent="0.2">
      <c r="H32" s="15"/>
      <c r="I32" s="15"/>
      <c r="J32" s="15"/>
      <c r="K32" s="15"/>
      <c r="L32" s="15"/>
      <c r="M32" s="15"/>
      <c r="N32" s="15"/>
    </row>
    <row r="33" spans="1:14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1:14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14</vt:lpstr>
      <vt:lpstr>day 17</vt:lpstr>
      <vt:lpstr>day 23</vt:lpstr>
      <vt:lpstr>collective data histology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Hannah G</dc:creator>
  <cp:lastModifiedBy>Anderson, Hannah G</cp:lastModifiedBy>
  <cp:lastPrinted>2024-12-17T19:43:15Z</cp:lastPrinted>
  <dcterms:created xsi:type="dcterms:W3CDTF">2024-12-16T18:45:56Z</dcterms:created>
  <dcterms:modified xsi:type="dcterms:W3CDTF">2026-02-06T16:38:04Z</dcterms:modified>
</cp:coreProperties>
</file>