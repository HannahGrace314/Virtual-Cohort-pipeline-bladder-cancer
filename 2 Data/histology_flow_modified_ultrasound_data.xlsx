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4481924/Documents/TIL_ODE/Code/TIL_ODE_VC_GitHub/"/>
    </mc:Choice>
  </mc:AlternateContent>
  <xr:revisionPtr revIDLastSave="0" documentId="13_ncr:1_{E7221E6B-F5A3-924B-9708-D552329284E9}" xr6:coauthVersionLast="47" xr6:coauthVersionMax="47" xr10:uidLastSave="{00000000-0000-0000-0000-000000000000}"/>
  <bookViews>
    <workbookView xWindow="37080" yWindow="500" windowWidth="27640" windowHeight="16940" activeTab="2" xr2:uid="{4127E461-4264-D844-A330-AF4AE9C89EB6}"/>
  </bookViews>
  <sheets>
    <sheet name="treatment T cell percent" sheetId="3" r:id="rId1"/>
    <sheet name="treatment MDSC percent" sheetId="4" r:id="rId2"/>
    <sheet name="cancer percent (C = tumor-T-M)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7" i="5" l="1"/>
  <c r="E63" i="5"/>
  <c r="D63" i="5"/>
  <c r="C63" i="5"/>
  <c r="B63" i="5"/>
  <c r="E62" i="5"/>
  <c r="D62" i="5"/>
  <c r="C62" i="5"/>
  <c r="B62" i="5"/>
  <c r="E61" i="5"/>
  <c r="D61" i="5"/>
  <c r="C61" i="5"/>
  <c r="B61" i="5"/>
  <c r="E60" i="5"/>
  <c r="D60" i="5"/>
  <c r="C60" i="5"/>
  <c r="B60" i="5"/>
  <c r="E59" i="5"/>
  <c r="D59" i="5"/>
  <c r="C59" i="5"/>
  <c r="B59" i="5"/>
  <c r="E58" i="5"/>
  <c r="D58" i="5"/>
  <c r="C58" i="5"/>
  <c r="B58" i="5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59" i="4"/>
  <c r="C59" i="4"/>
  <c r="D59" i="4"/>
  <c r="E59" i="4"/>
  <c r="B60" i="4"/>
  <c r="C60" i="4"/>
  <c r="D60" i="4"/>
  <c r="E60" i="4"/>
  <c r="B61" i="4"/>
  <c r="C61" i="4"/>
  <c r="D61" i="4"/>
  <c r="E61" i="4"/>
  <c r="B62" i="4"/>
  <c r="C62" i="4"/>
  <c r="D62" i="4"/>
  <c r="E62" i="4"/>
  <c r="B63" i="4"/>
  <c r="C63" i="4"/>
  <c r="D63" i="4"/>
  <c r="E63" i="4"/>
  <c r="C58" i="4"/>
  <c r="D58" i="4"/>
  <c r="E58" i="4"/>
  <c r="B58" i="4"/>
  <c r="B48" i="4"/>
  <c r="C48" i="4"/>
  <c r="D48" i="4"/>
  <c r="E48" i="4"/>
  <c r="B49" i="4"/>
  <c r="C49" i="4"/>
  <c r="D49" i="4"/>
  <c r="E49" i="4"/>
  <c r="B50" i="4"/>
  <c r="C50" i="4"/>
  <c r="D50" i="4"/>
  <c r="E50" i="4"/>
  <c r="B51" i="4"/>
  <c r="C51" i="4"/>
  <c r="D51" i="4"/>
  <c r="E51" i="4"/>
  <c r="B52" i="4"/>
  <c r="C52" i="4"/>
  <c r="D52" i="4"/>
  <c r="E52" i="4"/>
  <c r="C47" i="4"/>
  <c r="D47" i="4"/>
  <c r="E47" i="4"/>
  <c r="B47" i="4"/>
  <c r="B59" i="3"/>
  <c r="C59" i="3"/>
  <c r="D59" i="3"/>
  <c r="E59" i="3"/>
  <c r="B60" i="3"/>
  <c r="C60" i="3"/>
  <c r="D60" i="3"/>
  <c r="E60" i="3"/>
  <c r="B61" i="3"/>
  <c r="C61" i="3"/>
  <c r="D61" i="3"/>
  <c r="E61" i="3"/>
  <c r="B62" i="3"/>
  <c r="C62" i="3"/>
  <c r="D62" i="3"/>
  <c r="E62" i="3"/>
  <c r="B63" i="3"/>
  <c r="C63" i="3"/>
  <c r="D63" i="3"/>
  <c r="E63" i="3"/>
  <c r="C58" i="3"/>
  <c r="D58" i="3"/>
  <c r="E58" i="3"/>
  <c r="B58" i="3"/>
  <c r="B48" i="3"/>
  <c r="C48" i="3"/>
  <c r="D48" i="3"/>
  <c r="E48" i="3"/>
  <c r="B49" i="3"/>
  <c r="C49" i="3"/>
  <c r="D49" i="3"/>
  <c r="E49" i="3"/>
  <c r="B50" i="3"/>
  <c r="C50" i="3"/>
  <c r="D50" i="3"/>
  <c r="E50" i="3"/>
  <c r="B51" i="3"/>
  <c r="C51" i="3"/>
  <c r="D51" i="3"/>
  <c r="E51" i="3"/>
  <c r="B52" i="3"/>
  <c r="C52" i="3"/>
  <c r="D52" i="3"/>
  <c r="E52" i="3"/>
  <c r="C47" i="3"/>
  <c r="D47" i="3"/>
  <c r="E47" i="3"/>
  <c r="B47" i="3"/>
</calcChain>
</file>

<file path=xl/sharedStrings.xml><?xml version="1.0" encoding="utf-8"?>
<sst xmlns="http://schemas.openxmlformats.org/spreadsheetml/2006/main" count="113" uniqueCount="22">
  <si>
    <t xml:space="preserve">Cancer volume data </t>
  </si>
  <si>
    <t>day</t>
  </si>
  <si>
    <t>UNTX</t>
  </si>
  <si>
    <t>GEM</t>
  </si>
  <si>
    <t>OT-1</t>
  </si>
  <si>
    <t>GEM/OT-1</t>
  </si>
  <si>
    <t>Cancer mean volumes:</t>
  </si>
  <si>
    <t>Cancer volume standard deviations:</t>
  </si>
  <si>
    <t>Total tumor mean volumes:</t>
  </si>
  <si>
    <t>Total tumor volume standard deviations:</t>
  </si>
  <si>
    <t xml:space="preserve">CD8 T cell volume data </t>
  </si>
  <si>
    <t>Histology percentages for CD8 T cells:</t>
  </si>
  <si>
    <t>Histology percentages for Ly6G MDSCs:</t>
  </si>
  <si>
    <t xml:space="preserve">Ly6G MDSCs volume data </t>
  </si>
  <si>
    <t>T cell mean volumes:</t>
  </si>
  <si>
    <t>T cell volume standard deviations:</t>
  </si>
  <si>
    <t>MDSC mean volumes:</t>
  </si>
  <si>
    <t>MDSC volume standard deviations:</t>
  </si>
  <si>
    <t>Histology percentages for cancer cells (C = tumor - T -M in histology):</t>
  </si>
  <si>
    <t>Not applicable</t>
  </si>
  <si>
    <t>Interpolated percentages (out of 100):</t>
  </si>
  <si>
    <t>* takes the percents from T cell and MDSC interpolation, adds them, and subtracts that from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</si>
</sst>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FEB01-E709-4F42-8763-7070D5E015CC}">
  <dimension ref="A1:E63"/>
  <sheetViews>
    <sheetView topLeftCell="A21" workbookViewId="0">
      <selection activeCell="G49" sqref="G49"/>
    </sheetView>
  </sheetViews>
  <sheetFormatPr baseColWidth="10" defaultRowHeight="16" x14ac:dyDescent="0.2"/>
  <sheetData>
    <row r="1" spans="1:5" x14ac:dyDescent="0.2">
      <c r="A1" t="s">
        <v>10</v>
      </c>
    </row>
    <row r="3" spans="1:5" x14ac:dyDescent="0.2">
      <c r="A3" s="1" t="s">
        <v>11</v>
      </c>
      <c r="B3" s="1"/>
      <c r="C3" s="1"/>
    </row>
    <row r="6" spans="1:5" x14ac:dyDescent="0.2">
      <c r="A6" t="s">
        <v>1</v>
      </c>
      <c r="B6" t="s">
        <v>2</v>
      </c>
      <c r="C6" t="s">
        <v>3</v>
      </c>
      <c r="D6" t="s">
        <v>4</v>
      </c>
      <c r="E6" t="s">
        <v>5</v>
      </c>
    </row>
    <row r="7" spans="1:5" x14ac:dyDescent="0.2">
      <c r="A7">
        <v>0</v>
      </c>
      <c r="B7">
        <v>0</v>
      </c>
      <c r="C7">
        <v>0</v>
      </c>
      <c r="D7">
        <v>0</v>
      </c>
      <c r="E7">
        <v>0</v>
      </c>
    </row>
    <row r="8" spans="1:5" x14ac:dyDescent="0.2">
      <c r="A8">
        <v>17</v>
      </c>
      <c r="B8">
        <v>0.73942963623407298</v>
      </c>
      <c r="C8">
        <v>0.73942963623407298</v>
      </c>
      <c r="D8">
        <v>0.73734623853338399</v>
      </c>
      <c r="E8">
        <v>1.8177801081986</v>
      </c>
    </row>
    <row r="9" spans="1:5" x14ac:dyDescent="0.2">
      <c r="A9">
        <v>23</v>
      </c>
      <c r="B9">
        <v>0.48099916567774598</v>
      </c>
      <c r="C9">
        <v>0.48099916567774598</v>
      </c>
      <c r="D9">
        <v>9.2727409049846998E-2</v>
      </c>
      <c r="E9">
        <v>7.82947911269299E-2</v>
      </c>
    </row>
    <row r="12" spans="1:5" x14ac:dyDescent="0.2">
      <c r="A12" s="1" t="s">
        <v>20</v>
      </c>
      <c r="B12" s="1"/>
      <c r="C12" s="1"/>
    </row>
    <row r="13" spans="1:5" x14ac:dyDescent="0.2">
      <c r="A13" t="s">
        <v>1</v>
      </c>
      <c r="B13" t="s">
        <v>2</v>
      </c>
      <c r="C13" t="s">
        <v>3</v>
      </c>
      <c r="D13" t="s">
        <v>4</v>
      </c>
      <c r="E13" t="s">
        <v>5</v>
      </c>
    </row>
    <row r="14" spans="1:5" x14ac:dyDescent="0.2">
      <c r="A14">
        <v>0</v>
      </c>
      <c r="B14">
        <v>0</v>
      </c>
      <c r="C14">
        <v>0</v>
      </c>
      <c r="D14">
        <v>0</v>
      </c>
      <c r="E14">
        <v>0</v>
      </c>
    </row>
    <row r="15" spans="1:5" x14ac:dyDescent="0.2">
      <c r="A15">
        <v>6</v>
      </c>
      <c r="B15">
        <v>0.26097529411764703</v>
      </c>
      <c r="C15">
        <v>0.26097529411764703</v>
      </c>
      <c r="D15">
        <v>0.26097529411764703</v>
      </c>
      <c r="E15">
        <v>0.26097529411764703</v>
      </c>
    </row>
    <row r="16" spans="1:5" x14ac:dyDescent="0.2">
      <c r="A16">
        <v>9</v>
      </c>
      <c r="B16">
        <v>0.39146294117647101</v>
      </c>
      <c r="C16">
        <v>0.39146294117647101</v>
      </c>
      <c r="D16">
        <v>0.39146294117647101</v>
      </c>
      <c r="E16">
        <v>0.39146294117647101</v>
      </c>
    </row>
    <row r="17" spans="1:5" x14ac:dyDescent="0.2">
      <c r="A17">
        <v>13</v>
      </c>
      <c r="B17">
        <v>0.56544647058823505</v>
      </c>
      <c r="C17">
        <v>0.29738403604569102</v>
      </c>
      <c r="D17">
        <v>0.56544647058823505</v>
      </c>
      <c r="E17">
        <v>0.29738403604569102</v>
      </c>
    </row>
    <row r="18" spans="1:5" x14ac:dyDescent="0.2">
      <c r="A18">
        <v>16</v>
      </c>
      <c r="B18">
        <v>0.69593411764705904</v>
      </c>
      <c r="C18">
        <v>0.55194059118370598</v>
      </c>
      <c r="D18">
        <v>0.69454478431372602</v>
      </c>
      <c r="E18">
        <v>1.29569525785037</v>
      </c>
    </row>
    <row r="19" spans="1:5" x14ac:dyDescent="0.2">
      <c r="A19">
        <v>20</v>
      </c>
      <c r="B19">
        <v>0.61021449999999999</v>
      </c>
      <c r="C19">
        <v>0.47963549999999999</v>
      </c>
      <c r="D19">
        <v>0.41503649999999997</v>
      </c>
      <c r="E19">
        <v>0.94803749999999998</v>
      </c>
    </row>
    <row r="23" spans="1:5" x14ac:dyDescent="0.2">
      <c r="A23" s="1" t="s">
        <v>8</v>
      </c>
    </row>
    <row r="24" spans="1:5" x14ac:dyDescent="0.2">
      <c r="A24" t="s">
        <v>1</v>
      </c>
      <c r="B24" t="s">
        <v>2</v>
      </c>
      <c r="C24" t="s">
        <v>3</v>
      </c>
      <c r="D24" t="s">
        <v>4</v>
      </c>
      <c r="E24" t="s">
        <v>5</v>
      </c>
    </row>
    <row r="25" spans="1:5" x14ac:dyDescent="0.2">
      <c r="A25">
        <v>0</v>
      </c>
      <c r="B25">
        <v>1</v>
      </c>
      <c r="C25">
        <v>1</v>
      </c>
      <c r="D25">
        <v>1</v>
      </c>
      <c r="E25">
        <v>1</v>
      </c>
    </row>
    <row r="26" spans="1:5" x14ac:dyDescent="0.2">
      <c r="A26">
        <v>6</v>
      </c>
      <c r="B26">
        <v>27.655448275862099</v>
      </c>
      <c r="C26">
        <v>27.655448275862099</v>
      </c>
      <c r="D26">
        <v>27.655448275862099</v>
      </c>
      <c r="E26">
        <v>27.655448275862099</v>
      </c>
    </row>
    <row r="27" spans="1:5" x14ac:dyDescent="0.2">
      <c r="A27">
        <v>9</v>
      </c>
      <c r="B27">
        <v>53.966709090909099</v>
      </c>
      <c r="C27">
        <v>53.966709090909099</v>
      </c>
      <c r="D27">
        <v>53.966709090909099</v>
      </c>
      <c r="E27">
        <v>53.966709090909099</v>
      </c>
    </row>
    <row r="28" spans="1:5" x14ac:dyDescent="0.2">
      <c r="A28">
        <v>13</v>
      </c>
      <c r="B28">
        <v>72.189423076923106</v>
      </c>
      <c r="C28">
        <v>51.806586206896498</v>
      </c>
      <c r="D28">
        <v>72.189423076923106</v>
      </c>
      <c r="E28">
        <v>51.806586206896498</v>
      </c>
    </row>
    <row r="29" spans="1:5" x14ac:dyDescent="0.2">
      <c r="A29">
        <v>16</v>
      </c>
      <c r="B29">
        <v>83.956416666666598</v>
      </c>
      <c r="C29">
        <v>70.783000000000001</v>
      </c>
      <c r="D29">
        <v>75.302499999999995</v>
      </c>
      <c r="E29">
        <v>41.192071428571403</v>
      </c>
    </row>
    <row r="30" spans="1:5" x14ac:dyDescent="0.2">
      <c r="A30">
        <v>20</v>
      </c>
      <c r="B30">
        <v>105.76290909090901</v>
      </c>
      <c r="C30">
        <v>88.700500000000005</v>
      </c>
      <c r="D30">
        <v>96.761583333333306</v>
      </c>
      <c r="E30">
        <v>48.469285714285697</v>
      </c>
    </row>
    <row r="34" spans="1:5" x14ac:dyDescent="0.2">
      <c r="A34" s="1" t="s">
        <v>9</v>
      </c>
    </row>
    <row r="35" spans="1:5" x14ac:dyDescent="0.2">
      <c r="A35" t="s">
        <v>1</v>
      </c>
      <c r="B35" t="s">
        <v>2</v>
      </c>
      <c r="C35" t="s">
        <v>3</v>
      </c>
      <c r="D35" t="s">
        <v>4</v>
      </c>
      <c r="E35" t="s">
        <v>5</v>
      </c>
    </row>
    <row r="36" spans="1:5" x14ac:dyDescent="0.2">
      <c r="A36">
        <v>0</v>
      </c>
      <c r="B36">
        <v>0</v>
      </c>
      <c r="C36">
        <v>0</v>
      </c>
      <c r="D36">
        <v>0</v>
      </c>
      <c r="E36">
        <v>0</v>
      </c>
    </row>
    <row r="37" spans="1:5" x14ac:dyDescent="0.2">
      <c r="A37">
        <v>6</v>
      </c>
      <c r="B37">
        <v>11.2252750700825</v>
      </c>
      <c r="C37">
        <v>11.2252750700825</v>
      </c>
      <c r="D37">
        <v>11.2252750700825</v>
      </c>
      <c r="E37">
        <v>11.2252750700825</v>
      </c>
    </row>
    <row r="38" spans="1:5" x14ac:dyDescent="0.2">
      <c r="A38">
        <v>9</v>
      </c>
      <c r="B38">
        <v>26.3780077271682</v>
      </c>
      <c r="C38">
        <v>26.3780077271682</v>
      </c>
      <c r="D38">
        <v>26.3780077271682</v>
      </c>
      <c r="E38">
        <v>26.3780077271682</v>
      </c>
    </row>
    <row r="39" spans="1:5" x14ac:dyDescent="0.2">
      <c r="A39">
        <v>13</v>
      </c>
      <c r="B39">
        <v>45.016134865777303</v>
      </c>
      <c r="C39">
        <v>45.016134865777303</v>
      </c>
      <c r="D39">
        <v>45.016134865777303</v>
      </c>
      <c r="E39">
        <v>45.016134865777303</v>
      </c>
    </row>
    <row r="40" spans="1:5" x14ac:dyDescent="0.2">
      <c r="A40">
        <v>16</v>
      </c>
      <c r="B40">
        <v>58.214538967290999</v>
      </c>
      <c r="C40">
        <v>59.591517577308501</v>
      </c>
      <c r="D40">
        <v>26.988318114257599</v>
      </c>
      <c r="E40">
        <v>26.856188656403798</v>
      </c>
    </row>
    <row r="41" spans="1:5" x14ac:dyDescent="0.2">
      <c r="A41">
        <v>20</v>
      </c>
      <c r="B41">
        <v>69.647092706665902</v>
      </c>
      <c r="C41">
        <v>68.741347243258105</v>
      </c>
      <c r="D41">
        <v>53.0334654747844</v>
      </c>
      <c r="E41">
        <v>27.8023537808985</v>
      </c>
    </row>
    <row r="45" spans="1:5" x14ac:dyDescent="0.2">
      <c r="A45" s="1" t="s">
        <v>14</v>
      </c>
    </row>
    <row r="46" spans="1:5" x14ac:dyDescent="0.2">
      <c r="A46" t="s">
        <v>1</v>
      </c>
      <c r="B46" t="s">
        <v>2</v>
      </c>
      <c r="C46" t="s">
        <v>3</v>
      </c>
      <c r="D46" t="s">
        <v>4</v>
      </c>
      <c r="E46" t="s">
        <v>5</v>
      </c>
    </row>
    <row r="47" spans="1:5" x14ac:dyDescent="0.2">
      <c r="A47">
        <v>0</v>
      </c>
      <c r="B47">
        <f>B25*(B14/100)</f>
        <v>0</v>
      </c>
      <c r="C47">
        <f t="shared" ref="C47:E47" si="0">C25*(C14/100)</f>
        <v>0</v>
      </c>
      <c r="D47">
        <f t="shared" si="0"/>
        <v>0</v>
      </c>
      <c r="E47">
        <f t="shared" si="0"/>
        <v>0</v>
      </c>
    </row>
    <row r="48" spans="1:5" x14ac:dyDescent="0.2">
      <c r="A48">
        <v>6</v>
      </c>
      <c r="B48">
        <f t="shared" ref="B48:E48" si="1">B26*(B15/100)</f>
        <v>7.2173887477484863E-2</v>
      </c>
      <c r="C48">
        <f t="shared" si="1"/>
        <v>7.2173887477484863E-2</v>
      </c>
      <c r="D48">
        <f t="shared" si="1"/>
        <v>7.2173887477484863E-2</v>
      </c>
      <c r="E48">
        <f t="shared" si="1"/>
        <v>7.2173887477484863E-2</v>
      </c>
    </row>
    <row r="49" spans="1:5" x14ac:dyDescent="0.2">
      <c r="A49">
        <v>9</v>
      </c>
      <c r="B49">
        <f t="shared" ref="B49:E49" si="2">B27*(B16/100)</f>
        <v>0.21125966666342272</v>
      </c>
      <c r="C49">
        <f t="shared" si="2"/>
        <v>0.21125966666342272</v>
      </c>
      <c r="D49">
        <f t="shared" si="2"/>
        <v>0.21125966666342272</v>
      </c>
      <c r="E49">
        <f t="shared" si="2"/>
        <v>0.21125966666342272</v>
      </c>
    </row>
    <row r="50" spans="1:5" x14ac:dyDescent="0.2">
      <c r="A50">
        <v>13</v>
      </c>
      <c r="B50">
        <f t="shared" ref="B50:E50" si="3">B28*(B17/100)</f>
        <v>0.40819254492647056</v>
      </c>
      <c r="C50">
        <f t="shared" si="3"/>
        <v>0.15406451699955906</v>
      </c>
      <c r="D50">
        <f t="shared" si="3"/>
        <v>0.40819254492647056</v>
      </c>
      <c r="E50">
        <f t="shared" si="3"/>
        <v>0.15406451699955906</v>
      </c>
    </row>
    <row r="51" spans="1:5" x14ac:dyDescent="0.2">
      <c r="A51">
        <v>16</v>
      </c>
      <c r="B51">
        <f t="shared" ref="B51:E51" si="4">B29*(B18/100)</f>
        <v>0.58428134753725458</v>
      </c>
      <c r="C51">
        <f t="shared" si="4"/>
        <v>0.39068010865756259</v>
      </c>
      <c r="D51">
        <f t="shared" si="4"/>
        <v>0.52300958620784355</v>
      </c>
      <c r="E51">
        <f t="shared" si="4"/>
        <v>0.53372371611033687</v>
      </c>
    </row>
    <row r="52" spans="1:5" x14ac:dyDescent="0.2">
      <c r="A52">
        <v>20</v>
      </c>
      <c r="B52">
        <f t="shared" ref="B52:E52" si="5">B30*(B19/100)</f>
        <v>0.64538060689454491</v>
      </c>
      <c r="C52">
        <f t="shared" si="5"/>
        <v>0.42543908667749997</v>
      </c>
      <c r="D52">
        <f t="shared" si="5"/>
        <v>0.40159588881124986</v>
      </c>
      <c r="E52">
        <f t="shared" si="5"/>
        <v>0.45950700455357124</v>
      </c>
    </row>
    <row r="56" spans="1:5" x14ac:dyDescent="0.2">
      <c r="A56" s="1" t="s">
        <v>15</v>
      </c>
    </row>
    <row r="57" spans="1:5" x14ac:dyDescent="0.2">
      <c r="A57" t="s">
        <v>1</v>
      </c>
      <c r="B57" t="s">
        <v>2</v>
      </c>
      <c r="C57" t="s">
        <v>3</v>
      </c>
      <c r="D57" t="s">
        <v>4</v>
      </c>
      <c r="E57" t="s">
        <v>5</v>
      </c>
    </row>
    <row r="58" spans="1:5" x14ac:dyDescent="0.2">
      <c r="A58">
        <v>0</v>
      </c>
      <c r="B58">
        <f>B36*(B14/100)</f>
        <v>0</v>
      </c>
      <c r="C58">
        <f t="shared" ref="C58:E58" si="6">C36*(C14/100)</f>
        <v>0</v>
      </c>
      <c r="D58">
        <f t="shared" si="6"/>
        <v>0</v>
      </c>
      <c r="E58">
        <f t="shared" si="6"/>
        <v>0</v>
      </c>
    </row>
    <row r="59" spans="1:5" x14ac:dyDescent="0.2">
      <c r="A59">
        <v>6</v>
      </c>
      <c r="B59">
        <f t="shared" ref="B59:E59" si="7">B37*(B15/100)</f>
        <v>2.9295194629662714E-2</v>
      </c>
      <c r="C59">
        <f t="shared" si="7"/>
        <v>2.9295194629662714E-2</v>
      </c>
      <c r="D59">
        <f t="shared" si="7"/>
        <v>2.9295194629662714E-2</v>
      </c>
      <c r="E59">
        <f t="shared" si="7"/>
        <v>2.9295194629662714E-2</v>
      </c>
    </row>
    <row r="60" spans="1:5" x14ac:dyDescent="0.2">
      <c r="A60">
        <v>9</v>
      </c>
      <c r="B60">
        <f t="shared" ref="B60:E60" si="8">B38*(B16/100)</f>
        <v>0.10326012487252943</v>
      </c>
      <c r="C60">
        <f t="shared" si="8"/>
        <v>0.10326012487252943</v>
      </c>
      <c r="D60">
        <f t="shared" si="8"/>
        <v>0.10326012487252943</v>
      </c>
      <c r="E60">
        <f t="shared" si="8"/>
        <v>0.10326012487252943</v>
      </c>
    </row>
    <row r="61" spans="1:5" x14ac:dyDescent="0.2">
      <c r="A61">
        <v>13</v>
      </c>
      <c r="B61">
        <f t="shared" ref="B61:E61" si="9">B39*(B17/100)</f>
        <v>0.25454214579377771</v>
      </c>
      <c r="C61">
        <f t="shared" si="9"/>
        <v>0.13387079873562005</v>
      </c>
      <c r="D61">
        <f t="shared" si="9"/>
        <v>0.25454214579377771</v>
      </c>
      <c r="E61">
        <f t="shared" si="9"/>
        <v>0.13387079873562005</v>
      </c>
    </row>
    <row r="62" spans="1:5" x14ac:dyDescent="0.2">
      <c r="A62">
        <v>16</v>
      </c>
      <c r="B62">
        <f t="shared" ref="B62:E62" si="10">B40*(B18/100)</f>
        <v>0.40513483810431999</v>
      </c>
      <c r="C62">
        <f t="shared" si="10"/>
        <v>0.32890977441153857</v>
      </c>
      <c r="D62">
        <f t="shared" si="10"/>
        <v>0.1874459558365727</v>
      </c>
      <c r="E62">
        <f t="shared" si="10"/>
        <v>0.34797436286037303</v>
      </c>
    </row>
    <row r="63" spans="1:5" x14ac:dyDescent="0.2">
      <c r="A63">
        <v>20</v>
      </c>
      <c r="B63">
        <f t="shared" ref="B63:E63" si="11">B41*(B19/100)</f>
        <v>0.42499665852451779</v>
      </c>
      <c r="C63">
        <f t="shared" si="11"/>
        <v>0.32970790455693721</v>
      </c>
      <c r="D63">
        <f t="shared" si="11"/>
        <v>0.22010823893525353</v>
      </c>
      <c r="E63">
        <f t="shared" si="11"/>
        <v>0.2635767397255856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FFFBC-38FF-904C-B241-C8867122E405}">
  <dimension ref="A1:E63"/>
  <sheetViews>
    <sheetView workbookViewId="0">
      <selection activeCell="G14" sqref="G14"/>
    </sheetView>
  </sheetViews>
  <sheetFormatPr baseColWidth="10" defaultRowHeight="16" x14ac:dyDescent="0.2"/>
  <sheetData>
    <row r="1" spans="1:5" x14ac:dyDescent="0.2">
      <c r="A1" t="s">
        <v>13</v>
      </c>
    </row>
    <row r="3" spans="1:5" x14ac:dyDescent="0.2">
      <c r="A3" s="1" t="s">
        <v>12</v>
      </c>
      <c r="B3" s="1"/>
      <c r="C3" s="1"/>
    </row>
    <row r="6" spans="1:5" x14ac:dyDescent="0.2">
      <c r="A6" t="s">
        <v>1</v>
      </c>
      <c r="B6" t="s">
        <v>2</v>
      </c>
      <c r="C6" t="s">
        <v>3</v>
      </c>
      <c r="D6" t="s">
        <v>4</v>
      </c>
      <c r="E6" t="s">
        <v>5</v>
      </c>
    </row>
    <row r="7" spans="1:5" x14ac:dyDescent="0.2">
      <c r="A7">
        <v>0</v>
      </c>
      <c r="B7">
        <v>0</v>
      </c>
      <c r="C7">
        <v>0</v>
      </c>
      <c r="D7">
        <v>0</v>
      </c>
      <c r="E7">
        <v>0</v>
      </c>
    </row>
    <row r="8" spans="1:5" x14ac:dyDescent="0.2">
      <c r="A8">
        <v>17</v>
      </c>
      <c r="B8">
        <v>7.4662639500546701</v>
      </c>
      <c r="C8">
        <v>14.73935515556</v>
      </c>
      <c r="D8">
        <v>1.8240098966526901</v>
      </c>
      <c r="E8">
        <v>2.42723356054936</v>
      </c>
    </row>
    <row r="9" spans="1:5" x14ac:dyDescent="0.2">
      <c r="A9">
        <v>23</v>
      </c>
      <c r="B9">
        <v>0.59556256617091596</v>
      </c>
      <c r="C9">
        <v>0.45274104595391301</v>
      </c>
      <c r="D9">
        <v>5.5712452138911503</v>
      </c>
      <c r="E9">
        <v>4.2562265890363404</v>
      </c>
    </row>
    <row r="12" spans="1:5" x14ac:dyDescent="0.2">
      <c r="A12" s="1" t="s">
        <v>20</v>
      </c>
      <c r="B12" s="1"/>
      <c r="C12" s="1"/>
    </row>
    <row r="13" spans="1:5" x14ac:dyDescent="0.2">
      <c r="A13" t="s">
        <v>1</v>
      </c>
      <c r="B13" t="s">
        <v>2</v>
      </c>
      <c r="C13" t="s">
        <v>3</v>
      </c>
      <c r="D13" t="s">
        <v>4</v>
      </c>
      <c r="E13" t="s">
        <v>5</v>
      </c>
    </row>
    <row r="14" spans="1:5" x14ac:dyDescent="0.2">
      <c r="A14">
        <v>0</v>
      </c>
      <c r="B14">
        <v>0</v>
      </c>
      <c r="C14">
        <v>0</v>
      </c>
      <c r="D14">
        <v>0</v>
      </c>
      <c r="E14">
        <v>0</v>
      </c>
    </row>
    <row r="15" spans="1:5" x14ac:dyDescent="0.2">
      <c r="A15">
        <v>6</v>
      </c>
      <c r="B15">
        <v>2.6351520000000002</v>
      </c>
      <c r="C15">
        <v>2.6351520000000002</v>
      </c>
      <c r="D15">
        <v>2.6351520000000002</v>
      </c>
      <c r="E15">
        <v>2.6351520000000002</v>
      </c>
    </row>
    <row r="16" spans="1:5" x14ac:dyDescent="0.2">
      <c r="A16">
        <v>9</v>
      </c>
      <c r="B16">
        <v>3.952728</v>
      </c>
      <c r="C16">
        <v>3.952728</v>
      </c>
      <c r="D16">
        <v>3.952728</v>
      </c>
      <c r="E16">
        <v>3.952728</v>
      </c>
    </row>
    <row r="17" spans="1:5" x14ac:dyDescent="0.2">
      <c r="A17">
        <v>13</v>
      </c>
      <c r="B17">
        <v>5.7094959999999997</v>
      </c>
      <c r="C17">
        <v>3.59875235820896</v>
      </c>
      <c r="D17">
        <v>5.7094959999999997</v>
      </c>
      <c r="E17">
        <v>3.59875235820896</v>
      </c>
    </row>
    <row r="18" spans="1:5" x14ac:dyDescent="0.2">
      <c r="A18">
        <v>16</v>
      </c>
      <c r="B18">
        <v>7.0270720000000004</v>
      </c>
      <c r="C18">
        <v>10.937691048092899</v>
      </c>
      <c r="D18">
        <v>3.26556933333333</v>
      </c>
      <c r="E18">
        <v>2.7296103814262</v>
      </c>
    </row>
    <row r="19" spans="1:5" x14ac:dyDescent="0.2">
      <c r="A19">
        <v>20</v>
      </c>
      <c r="B19">
        <v>4.0309134999999996</v>
      </c>
      <c r="C19">
        <v>7.5960479999999997</v>
      </c>
      <c r="D19">
        <v>3.6976274999999998</v>
      </c>
      <c r="E19">
        <v>3.3417305000000002</v>
      </c>
    </row>
    <row r="23" spans="1:5" x14ac:dyDescent="0.2">
      <c r="A23" s="1" t="s">
        <v>8</v>
      </c>
    </row>
    <row r="24" spans="1:5" x14ac:dyDescent="0.2">
      <c r="A24" t="s">
        <v>1</v>
      </c>
      <c r="B24" t="s">
        <v>2</v>
      </c>
      <c r="C24" t="s">
        <v>3</v>
      </c>
      <c r="D24" t="s">
        <v>4</v>
      </c>
      <c r="E24" t="s">
        <v>5</v>
      </c>
    </row>
    <row r="25" spans="1:5" x14ac:dyDescent="0.2">
      <c r="A25">
        <v>0</v>
      </c>
      <c r="B25">
        <v>1</v>
      </c>
      <c r="C25">
        <v>1</v>
      </c>
      <c r="D25">
        <v>1</v>
      </c>
      <c r="E25">
        <v>1</v>
      </c>
    </row>
    <row r="26" spans="1:5" x14ac:dyDescent="0.2">
      <c r="A26">
        <v>6</v>
      </c>
      <c r="B26">
        <v>27.655448275862099</v>
      </c>
      <c r="C26">
        <v>27.655448275862099</v>
      </c>
      <c r="D26">
        <v>27.655448275862099</v>
      </c>
      <c r="E26">
        <v>27.655448275862099</v>
      </c>
    </row>
    <row r="27" spans="1:5" x14ac:dyDescent="0.2">
      <c r="A27">
        <v>9</v>
      </c>
      <c r="B27">
        <v>53.966709090909099</v>
      </c>
      <c r="C27">
        <v>53.966709090909099</v>
      </c>
      <c r="D27">
        <v>53.966709090909099</v>
      </c>
      <c r="E27">
        <v>53.966709090909099</v>
      </c>
    </row>
    <row r="28" spans="1:5" x14ac:dyDescent="0.2">
      <c r="A28">
        <v>13</v>
      </c>
      <c r="B28">
        <v>72.189423076923106</v>
      </c>
      <c r="C28">
        <v>51.806586206896498</v>
      </c>
      <c r="D28">
        <v>72.189423076923106</v>
      </c>
      <c r="E28">
        <v>51.806586206896498</v>
      </c>
    </row>
    <row r="29" spans="1:5" x14ac:dyDescent="0.2">
      <c r="A29">
        <v>16</v>
      </c>
      <c r="B29">
        <v>83.956416666666598</v>
      </c>
      <c r="C29">
        <v>70.783000000000001</v>
      </c>
      <c r="D29">
        <v>75.302499999999995</v>
      </c>
      <c r="E29">
        <v>41.192071428571403</v>
      </c>
    </row>
    <row r="30" spans="1:5" x14ac:dyDescent="0.2">
      <c r="A30">
        <v>20</v>
      </c>
      <c r="B30">
        <v>105.76290909090901</v>
      </c>
      <c r="C30">
        <v>88.700500000000005</v>
      </c>
      <c r="D30">
        <v>96.761583333333306</v>
      </c>
      <c r="E30">
        <v>48.469285714285697</v>
      </c>
    </row>
    <row r="34" spans="1:5" x14ac:dyDescent="0.2">
      <c r="A34" s="1" t="s">
        <v>9</v>
      </c>
    </row>
    <row r="35" spans="1:5" x14ac:dyDescent="0.2">
      <c r="A35" t="s">
        <v>1</v>
      </c>
      <c r="B35" t="s">
        <v>2</v>
      </c>
      <c r="C35" t="s">
        <v>3</v>
      </c>
      <c r="D35" t="s">
        <v>4</v>
      </c>
      <c r="E35" t="s">
        <v>5</v>
      </c>
    </row>
    <row r="36" spans="1:5" x14ac:dyDescent="0.2">
      <c r="A36">
        <v>0</v>
      </c>
      <c r="B36">
        <v>0</v>
      </c>
      <c r="C36">
        <v>0</v>
      </c>
      <c r="D36">
        <v>0</v>
      </c>
      <c r="E36">
        <v>0</v>
      </c>
    </row>
    <row r="37" spans="1:5" x14ac:dyDescent="0.2">
      <c r="A37">
        <v>6</v>
      </c>
      <c r="B37">
        <v>11.2252750700825</v>
      </c>
      <c r="C37">
        <v>11.2252750700825</v>
      </c>
      <c r="D37">
        <v>11.2252750700825</v>
      </c>
      <c r="E37">
        <v>11.2252750700825</v>
      </c>
    </row>
    <row r="38" spans="1:5" x14ac:dyDescent="0.2">
      <c r="A38">
        <v>9</v>
      </c>
      <c r="B38">
        <v>26.3780077271682</v>
      </c>
      <c r="C38">
        <v>26.3780077271682</v>
      </c>
      <c r="D38">
        <v>26.3780077271682</v>
      </c>
      <c r="E38">
        <v>26.3780077271682</v>
      </c>
    </row>
    <row r="39" spans="1:5" x14ac:dyDescent="0.2">
      <c r="A39">
        <v>13</v>
      </c>
      <c r="B39">
        <v>45.016134865777303</v>
      </c>
      <c r="C39">
        <v>45.016134865777303</v>
      </c>
      <c r="D39">
        <v>45.016134865777303</v>
      </c>
      <c r="E39">
        <v>45.016134865777303</v>
      </c>
    </row>
    <row r="40" spans="1:5" x14ac:dyDescent="0.2">
      <c r="A40">
        <v>16</v>
      </c>
      <c r="B40">
        <v>58.214538967290999</v>
      </c>
      <c r="C40">
        <v>59.591517577308501</v>
      </c>
      <c r="D40">
        <v>26.988318114257599</v>
      </c>
      <c r="E40">
        <v>26.856188656403798</v>
      </c>
    </row>
    <row r="41" spans="1:5" x14ac:dyDescent="0.2">
      <c r="A41">
        <v>20</v>
      </c>
      <c r="B41">
        <v>69.647092706665902</v>
      </c>
      <c r="C41">
        <v>68.741347243258105</v>
      </c>
      <c r="D41">
        <v>53.0334654747844</v>
      </c>
      <c r="E41">
        <v>27.8023537808985</v>
      </c>
    </row>
    <row r="45" spans="1:5" x14ac:dyDescent="0.2">
      <c r="A45" s="1" t="s">
        <v>16</v>
      </c>
    </row>
    <row r="46" spans="1:5" x14ac:dyDescent="0.2">
      <c r="A46" t="s">
        <v>1</v>
      </c>
      <c r="B46" t="s">
        <v>2</v>
      </c>
      <c r="C46" t="s">
        <v>3</v>
      </c>
      <c r="D46" t="s">
        <v>4</v>
      </c>
      <c r="E46" t="s">
        <v>5</v>
      </c>
    </row>
    <row r="47" spans="1:5" x14ac:dyDescent="0.2">
      <c r="A47">
        <v>0</v>
      </c>
      <c r="B47">
        <f>B25*(B14/100)</f>
        <v>0</v>
      </c>
      <c r="C47">
        <f t="shared" ref="C47:E47" si="0">C25*(C14/100)</f>
        <v>0</v>
      </c>
      <c r="D47">
        <f t="shared" si="0"/>
        <v>0</v>
      </c>
      <c r="E47">
        <f t="shared" si="0"/>
        <v>0</v>
      </c>
    </row>
    <row r="48" spans="1:5" x14ac:dyDescent="0.2">
      <c r="A48">
        <v>6</v>
      </c>
      <c r="B48">
        <f t="shared" ref="B48:E48" si="1">B26*(B15/100)</f>
        <v>0.72876309835034569</v>
      </c>
      <c r="C48">
        <f t="shared" si="1"/>
        <v>0.72876309835034569</v>
      </c>
      <c r="D48">
        <f t="shared" si="1"/>
        <v>0.72876309835034569</v>
      </c>
      <c r="E48">
        <f t="shared" si="1"/>
        <v>0.72876309835034569</v>
      </c>
    </row>
    <row r="49" spans="1:5" x14ac:dyDescent="0.2">
      <c r="A49">
        <v>9</v>
      </c>
      <c r="B49">
        <f t="shared" ref="B49:E49" si="2">B27*(B16/100)</f>
        <v>2.1331572209149092</v>
      </c>
      <c r="C49">
        <f t="shared" si="2"/>
        <v>2.1331572209149092</v>
      </c>
      <c r="D49">
        <f t="shared" si="2"/>
        <v>2.1331572209149092</v>
      </c>
      <c r="E49">
        <f t="shared" si="2"/>
        <v>2.1331572209149092</v>
      </c>
    </row>
    <row r="50" spans="1:5" x14ac:dyDescent="0.2">
      <c r="A50">
        <v>13</v>
      </c>
      <c r="B50">
        <f t="shared" ref="B50:E50" si="3">B28*(B17/100)</f>
        <v>4.1216522230000017</v>
      </c>
      <c r="C50">
        <f t="shared" si="3"/>
        <v>1.8643907428282456</v>
      </c>
      <c r="D50">
        <f t="shared" si="3"/>
        <v>4.1216522230000017</v>
      </c>
      <c r="E50">
        <f t="shared" si="3"/>
        <v>1.8643907428282456</v>
      </c>
    </row>
    <row r="51" spans="1:5" x14ac:dyDescent="0.2">
      <c r="A51">
        <v>16</v>
      </c>
      <c r="B51">
        <f t="shared" ref="B51:E51" si="4">B29*(B18/100)</f>
        <v>5.8996778477866627</v>
      </c>
      <c r="C51">
        <f t="shared" si="4"/>
        <v>7.7420258545715974</v>
      </c>
      <c r="D51">
        <f t="shared" si="4"/>
        <v>2.4590553472333303</v>
      </c>
      <c r="E51">
        <f t="shared" si="4"/>
        <v>1.1243830580387806</v>
      </c>
    </row>
    <row r="52" spans="1:5" x14ac:dyDescent="0.2">
      <c r="A52">
        <v>20</v>
      </c>
      <c r="B52">
        <f t="shared" ref="B52:E52" si="5">B30*(B19/100)</f>
        <v>4.2632113805381779</v>
      </c>
      <c r="C52">
        <f t="shared" si="5"/>
        <v>6.7377325562400001</v>
      </c>
      <c r="D52">
        <f t="shared" si="5"/>
        <v>3.5778829147687485</v>
      </c>
      <c r="E52">
        <f t="shared" si="5"/>
        <v>1.619712903846428</v>
      </c>
    </row>
    <row r="56" spans="1:5" x14ac:dyDescent="0.2">
      <c r="A56" s="1" t="s">
        <v>17</v>
      </c>
    </row>
    <row r="57" spans="1:5" x14ac:dyDescent="0.2">
      <c r="A57" t="s">
        <v>1</v>
      </c>
      <c r="B57" t="s">
        <v>2</v>
      </c>
      <c r="C57" t="s">
        <v>3</v>
      </c>
      <c r="D57" t="s">
        <v>4</v>
      </c>
      <c r="E57" t="s">
        <v>5</v>
      </c>
    </row>
    <row r="58" spans="1:5" x14ac:dyDescent="0.2">
      <c r="A58">
        <v>0</v>
      </c>
      <c r="B58">
        <f>B36*(B14/100)</f>
        <v>0</v>
      </c>
      <c r="C58">
        <f t="shared" ref="C58:E58" si="6">C36*(C14/100)</f>
        <v>0</v>
      </c>
      <c r="D58">
        <f t="shared" si="6"/>
        <v>0</v>
      </c>
      <c r="E58">
        <f t="shared" si="6"/>
        <v>0</v>
      </c>
    </row>
    <row r="59" spans="1:5" x14ac:dyDescent="0.2">
      <c r="A59">
        <v>6</v>
      </c>
      <c r="B59">
        <f t="shared" ref="B59:E59" si="7">B37*(B15/100)</f>
        <v>0.29580306051478045</v>
      </c>
      <c r="C59">
        <f t="shared" si="7"/>
        <v>0.29580306051478045</v>
      </c>
      <c r="D59">
        <f t="shared" si="7"/>
        <v>0.29580306051478045</v>
      </c>
      <c r="E59">
        <f t="shared" si="7"/>
        <v>0.29580306051478045</v>
      </c>
    </row>
    <row r="60" spans="1:5" x14ac:dyDescent="0.2">
      <c r="A60">
        <v>9</v>
      </c>
      <c r="B60">
        <f t="shared" ref="B60:E60" si="8">B38*(B16/100)</f>
        <v>1.042650897273941</v>
      </c>
      <c r="C60">
        <f t="shared" si="8"/>
        <v>1.042650897273941</v>
      </c>
      <c r="D60">
        <f t="shared" si="8"/>
        <v>1.042650897273941</v>
      </c>
      <c r="E60">
        <f t="shared" si="8"/>
        <v>1.042650897273941</v>
      </c>
    </row>
    <row r="61" spans="1:5" x14ac:dyDescent="0.2">
      <c r="A61">
        <v>13</v>
      </c>
      <c r="B61">
        <f t="shared" ref="B61:E61" si="9">B39*(B17/100)</f>
        <v>2.5701944195161603</v>
      </c>
      <c r="C61">
        <f t="shared" si="9"/>
        <v>1.6200192150566866</v>
      </c>
      <c r="D61">
        <f t="shared" si="9"/>
        <v>2.5701944195161603</v>
      </c>
      <c r="E61">
        <f t="shared" si="9"/>
        <v>1.6200192150566866</v>
      </c>
    </row>
    <row r="62" spans="1:5" x14ac:dyDescent="0.2">
      <c r="A62">
        <v>16</v>
      </c>
      <c r="B62">
        <f t="shared" ref="B62:E62" si="10">B40*(B18/100)</f>
        <v>4.090777567699595</v>
      </c>
      <c r="C62">
        <f t="shared" si="10"/>
        <v>6.5179360834759787</v>
      </c>
      <c r="D62">
        <f t="shared" si="10"/>
        <v>0.88132223992164016</v>
      </c>
      <c r="E62">
        <f t="shared" si="10"/>
        <v>0.73306931362060357</v>
      </c>
    </row>
    <row r="63" spans="1:5" x14ac:dyDescent="0.2">
      <c r="A63">
        <v>20</v>
      </c>
      <c r="B63">
        <f t="shared" ref="B63:E63" si="11">B41*(B19/100)</f>
        <v>2.807414062270511</v>
      </c>
      <c r="C63">
        <f t="shared" si="11"/>
        <v>5.2216257324445623</v>
      </c>
      <c r="D63">
        <f t="shared" si="11"/>
        <v>1.9609800035986333</v>
      </c>
      <c r="E63">
        <f t="shared" si="11"/>
        <v>0.92907973601418836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91FFD-BA81-D84F-86B6-7E3B91A1E10B}">
  <dimension ref="A1:F63"/>
  <sheetViews>
    <sheetView tabSelected="1" workbookViewId="0">
      <selection activeCell="I27" sqref="I27"/>
    </sheetView>
  </sheetViews>
  <sheetFormatPr baseColWidth="10" defaultRowHeight="16" x14ac:dyDescent="0.2"/>
  <sheetData>
    <row r="1" spans="1:6" x14ac:dyDescent="0.2">
      <c r="A1" t="s">
        <v>0</v>
      </c>
    </row>
    <row r="3" spans="1:6" x14ac:dyDescent="0.2">
      <c r="A3" s="1" t="s">
        <v>18</v>
      </c>
      <c r="B3" s="1"/>
      <c r="C3" s="1"/>
    </row>
    <row r="6" spans="1:6" x14ac:dyDescent="0.2">
      <c r="A6" t="s">
        <v>1</v>
      </c>
      <c r="B6" t="s">
        <v>2</v>
      </c>
      <c r="C6" t="s">
        <v>3</v>
      </c>
      <c r="D6" t="s">
        <v>4</v>
      </c>
      <c r="E6" t="s">
        <v>5</v>
      </c>
    </row>
    <row r="7" spans="1:6" x14ac:dyDescent="0.2">
      <c r="A7">
        <v>0</v>
      </c>
      <c r="F7" t="s">
        <v>19</v>
      </c>
    </row>
    <row r="8" spans="1:6" x14ac:dyDescent="0.2">
      <c r="A8">
        <v>17</v>
      </c>
    </row>
    <row r="9" spans="1:6" x14ac:dyDescent="0.2">
      <c r="A9">
        <v>23</v>
      </c>
    </row>
    <row r="12" spans="1:6" x14ac:dyDescent="0.2">
      <c r="A12" s="1" t="s">
        <v>20</v>
      </c>
      <c r="B12" s="1"/>
      <c r="C12" s="1"/>
    </row>
    <row r="13" spans="1:6" x14ac:dyDescent="0.2">
      <c r="A13" t="s">
        <v>1</v>
      </c>
      <c r="B13" t="s">
        <v>2</v>
      </c>
      <c r="C13" t="s">
        <v>3</v>
      </c>
      <c r="D13" t="s">
        <v>4</v>
      </c>
      <c r="E13" t="s">
        <v>5</v>
      </c>
    </row>
    <row r="14" spans="1:6" x14ac:dyDescent="0.2">
      <c r="A14">
        <v>0</v>
      </c>
      <c r="B14">
        <v>100</v>
      </c>
      <c r="C14">
        <v>100</v>
      </c>
      <c r="D14">
        <v>100</v>
      </c>
      <c r="E14">
        <v>100</v>
      </c>
    </row>
    <row r="15" spans="1:6" x14ac:dyDescent="0.2">
      <c r="A15">
        <v>6</v>
      </c>
      <c r="B15">
        <v>97.103872705882395</v>
      </c>
      <c r="C15">
        <v>97.103872705882395</v>
      </c>
      <c r="D15">
        <v>97.103872705882395</v>
      </c>
      <c r="E15">
        <v>97.103872705882395</v>
      </c>
      <c r="F15" t="s">
        <v>21</v>
      </c>
    </row>
    <row r="16" spans="1:6" x14ac:dyDescent="0.2">
      <c r="A16">
        <v>9</v>
      </c>
      <c r="B16">
        <v>95.655809058823493</v>
      </c>
      <c r="C16">
        <v>95.655809058823493</v>
      </c>
      <c r="D16">
        <v>95.655809058823493</v>
      </c>
      <c r="E16">
        <v>95.655809058823493</v>
      </c>
    </row>
    <row r="17" spans="1:5" x14ac:dyDescent="0.2">
      <c r="A17">
        <v>13</v>
      </c>
      <c r="B17">
        <v>93.725057529411799</v>
      </c>
      <c r="C17">
        <v>96.103863605745403</v>
      </c>
      <c r="D17">
        <v>93.725057529411799</v>
      </c>
      <c r="E17">
        <v>96.103863605745403</v>
      </c>
    </row>
    <row r="18" spans="1:5" x14ac:dyDescent="0.2">
      <c r="A18">
        <v>16</v>
      </c>
      <c r="B18">
        <v>92.276993882352897</v>
      </c>
      <c r="C18">
        <v>88.510368360723405</v>
      </c>
      <c r="D18">
        <v>96.039885882352905</v>
      </c>
      <c r="E18">
        <v>95.974694360723404</v>
      </c>
    </row>
    <row r="19" spans="1:5" x14ac:dyDescent="0.2">
      <c r="A19">
        <v>20</v>
      </c>
      <c r="B19">
        <v>95.358872000000005</v>
      </c>
      <c r="C19">
        <v>91.924316500000003</v>
      </c>
      <c r="D19">
        <v>95.887336000000005</v>
      </c>
      <c r="E19">
        <v>95.710232000000005</v>
      </c>
    </row>
    <row r="23" spans="1:5" x14ac:dyDescent="0.2">
      <c r="A23" s="1" t="s">
        <v>8</v>
      </c>
    </row>
    <row r="24" spans="1:5" x14ac:dyDescent="0.2">
      <c r="A24" t="s">
        <v>1</v>
      </c>
      <c r="B24" t="s">
        <v>2</v>
      </c>
      <c r="C24" t="s">
        <v>3</v>
      </c>
      <c r="D24" t="s">
        <v>4</v>
      </c>
      <c r="E24" t="s">
        <v>5</v>
      </c>
    </row>
    <row r="25" spans="1:5" x14ac:dyDescent="0.2">
      <c r="A25">
        <v>0</v>
      </c>
      <c r="B25">
        <v>1</v>
      </c>
      <c r="C25">
        <v>1</v>
      </c>
      <c r="D25">
        <v>1</v>
      </c>
      <c r="E25">
        <v>1</v>
      </c>
    </row>
    <row r="26" spans="1:5" x14ac:dyDescent="0.2">
      <c r="A26">
        <v>6</v>
      </c>
      <c r="B26">
        <v>27.655448275862099</v>
      </c>
      <c r="C26">
        <v>27.655448275862099</v>
      </c>
      <c r="D26">
        <v>27.655448275862099</v>
      </c>
      <c r="E26">
        <v>27.655448275862099</v>
      </c>
    </row>
    <row r="27" spans="1:5" x14ac:dyDescent="0.2">
      <c r="A27">
        <v>9</v>
      </c>
      <c r="B27">
        <v>53.966709090909099</v>
      </c>
      <c r="C27">
        <v>53.966709090909099</v>
      </c>
      <c r="D27">
        <v>53.966709090909099</v>
      </c>
      <c r="E27">
        <v>53.966709090909099</v>
      </c>
    </row>
    <row r="28" spans="1:5" x14ac:dyDescent="0.2">
      <c r="A28">
        <v>13</v>
      </c>
      <c r="B28">
        <v>72.189423076923106</v>
      </c>
      <c r="C28">
        <v>51.806586206896498</v>
      </c>
      <c r="D28">
        <v>72.189423076923106</v>
      </c>
      <c r="E28">
        <v>51.806586206896498</v>
      </c>
    </row>
    <row r="29" spans="1:5" x14ac:dyDescent="0.2">
      <c r="A29">
        <v>16</v>
      </c>
      <c r="B29">
        <v>83.956416666666598</v>
      </c>
      <c r="C29">
        <v>70.783000000000001</v>
      </c>
      <c r="D29">
        <v>75.302499999999995</v>
      </c>
      <c r="E29">
        <v>41.192071428571403</v>
      </c>
    </row>
    <row r="30" spans="1:5" x14ac:dyDescent="0.2">
      <c r="A30">
        <v>20</v>
      </c>
      <c r="B30">
        <v>105.76290909090901</v>
      </c>
      <c r="C30">
        <v>88.700500000000005</v>
      </c>
      <c r="D30">
        <v>96.761583333333306</v>
      </c>
      <c r="E30">
        <v>48.469285714285697</v>
      </c>
    </row>
    <row r="34" spans="1:5" x14ac:dyDescent="0.2">
      <c r="A34" s="1" t="s">
        <v>9</v>
      </c>
    </row>
    <row r="35" spans="1:5" x14ac:dyDescent="0.2">
      <c r="A35" t="s">
        <v>1</v>
      </c>
      <c r="B35" t="s">
        <v>2</v>
      </c>
      <c r="C35" t="s">
        <v>3</v>
      </c>
      <c r="D35" t="s">
        <v>4</v>
      </c>
      <c r="E35" t="s">
        <v>5</v>
      </c>
    </row>
    <row r="36" spans="1:5" x14ac:dyDescent="0.2">
      <c r="A36">
        <v>0</v>
      </c>
      <c r="B36">
        <v>0</v>
      </c>
      <c r="C36">
        <v>0</v>
      </c>
      <c r="D36">
        <v>0</v>
      </c>
      <c r="E36">
        <v>0</v>
      </c>
    </row>
    <row r="37" spans="1:5" x14ac:dyDescent="0.2">
      <c r="A37">
        <v>6</v>
      </c>
      <c r="B37">
        <v>11.2252750700825</v>
      </c>
      <c r="C37">
        <v>11.2252750700825</v>
      </c>
      <c r="D37">
        <v>11.2252750700825</v>
      </c>
      <c r="E37">
        <v>11.2252750700825</v>
      </c>
    </row>
    <row r="38" spans="1:5" x14ac:dyDescent="0.2">
      <c r="A38">
        <v>9</v>
      </c>
      <c r="B38">
        <v>26.3780077271682</v>
      </c>
      <c r="C38">
        <v>26.3780077271682</v>
      </c>
      <c r="D38">
        <v>26.3780077271682</v>
      </c>
      <c r="E38">
        <v>26.3780077271682</v>
      </c>
    </row>
    <row r="39" spans="1:5" x14ac:dyDescent="0.2">
      <c r="A39">
        <v>13</v>
      </c>
      <c r="B39">
        <v>45.016134865777303</v>
      </c>
      <c r="C39">
        <v>45.016134865777303</v>
      </c>
      <c r="D39">
        <v>45.016134865777303</v>
      </c>
      <c r="E39">
        <v>45.016134865777303</v>
      </c>
    </row>
    <row r="40" spans="1:5" x14ac:dyDescent="0.2">
      <c r="A40">
        <v>16</v>
      </c>
      <c r="B40">
        <v>58.214538967290999</v>
      </c>
      <c r="C40">
        <v>59.591517577308501</v>
      </c>
      <c r="D40">
        <v>26.988318114257599</v>
      </c>
      <c r="E40">
        <v>26.856188656403798</v>
      </c>
    </row>
    <row r="41" spans="1:5" x14ac:dyDescent="0.2">
      <c r="A41">
        <v>20</v>
      </c>
      <c r="B41">
        <v>69.647092706665902</v>
      </c>
      <c r="C41">
        <v>68.741347243258105</v>
      </c>
      <c r="D41">
        <v>53.0334654747844</v>
      </c>
      <c r="E41">
        <v>27.8023537808985</v>
      </c>
    </row>
    <row r="45" spans="1:5" x14ac:dyDescent="0.2">
      <c r="A45" s="1" t="s">
        <v>6</v>
      </c>
    </row>
    <row r="46" spans="1:5" x14ac:dyDescent="0.2">
      <c r="A46" t="s">
        <v>1</v>
      </c>
      <c r="B46" t="s">
        <v>2</v>
      </c>
      <c r="C46" t="s">
        <v>3</v>
      </c>
      <c r="D46" t="s">
        <v>4</v>
      </c>
      <c r="E46" t="s">
        <v>5</v>
      </c>
    </row>
    <row r="47" spans="1:5" x14ac:dyDescent="0.2">
      <c r="A47">
        <v>0</v>
      </c>
      <c r="B47">
        <f>B25*(B14/100)</f>
        <v>1</v>
      </c>
      <c r="C47">
        <f t="shared" ref="C47:E47" si="0">C25*(C14/100)</f>
        <v>1</v>
      </c>
      <c r="D47">
        <f t="shared" si="0"/>
        <v>1</v>
      </c>
      <c r="E47">
        <f t="shared" si="0"/>
        <v>1</v>
      </c>
    </row>
    <row r="48" spans="1:5" x14ac:dyDescent="0.2">
      <c r="A48">
        <v>6</v>
      </c>
      <c r="B48">
        <f t="shared" ref="B48:E52" si="1">B26*(B15/100)</f>
        <v>26.854511290034282</v>
      </c>
      <c r="C48">
        <f t="shared" si="1"/>
        <v>26.854511290034282</v>
      </c>
      <c r="D48">
        <f t="shared" si="1"/>
        <v>26.854511290034282</v>
      </c>
      <c r="E48">
        <f t="shared" si="1"/>
        <v>26.854511290034282</v>
      </c>
    </row>
    <row r="49" spans="1:5" x14ac:dyDescent="0.2">
      <c r="A49">
        <v>9</v>
      </c>
      <c r="B49">
        <f t="shared" si="1"/>
        <v>51.622292203330744</v>
      </c>
      <c r="C49">
        <f t="shared" si="1"/>
        <v>51.622292203330744</v>
      </c>
      <c r="D49">
        <f t="shared" si="1"/>
        <v>51.622292203330744</v>
      </c>
      <c r="E49">
        <f t="shared" si="1"/>
        <v>51.622292203330744</v>
      </c>
    </row>
    <row r="50" spans="1:5" x14ac:dyDescent="0.2">
      <c r="A50">
        <v>13</v>
      </c>
      <c r="B50">
        <f t="shared" si="1"/>
        <v>67.659578308996657</v>
      </c>
      <c r="C50">
        <f t="shared" si="1"/>
        <v>49.788130947068716</v>
      </c>
      <c r="D50">
        <f t="shared" si="1"/>
        <v>67.659578308996657</v>
      </c>
      <c r="E50">
        <f t="shared" si="1"/>
        <v>49.788130947068716</v>
      </c>
    </row>
    <row r="51" spans="1:5" x14ac:dyDescent="0.2">
      <c r="A51">
        <v>16</v>
      </c>
      <c r="B51">
        <f t="shared" si="1"/>
        <v>77.472457471342651</v>
      </c>
      <c r="C51">
        <f t="shared" si="1"/>
        <v>62.650294036770845</v>
      </c>
      <c r="D51">
        <f t="shared" si="1"/>
        <v>72.320435066558787</v>
      </c>
      <c r="E51">
        <f t="shared" si="1"/>
        <v>39.53396465442227</v>
      </c>
    </row>
    <row r="52" spans="1:5" x14ac:dyDescent="0.2">
      <c r="A52">
        <v>20</v>
      </c>
      <c r="B52">
        <f t="shared" si="1"/>
        <v>100.85431710347629</v>
      </c>
      <c r="C52">
        <f t="shared" si="1"/>
        <v>81.537328357082501</v>
      </c>
      <c r="D52">
        <f t="shared" si="1"/>
        <v>92.782104529753312</v>
      </c>
      <c r="E52">
        <f t="shared" si="1"/>
        <v>46.390065805885698</v>
      </c>
    </row>
    <row r="56" spans="1:5" x14ac:dyDescent="0.2">
      <c r="A56" s="1" t="s">
        <v>7</v>
      </c>
    </row>
    <row r="57" spans="1:5" x14ac:dyDescent="0.2">
      <c r="A57" t="s">
        <v>1</v>
      </c>
      <c r="B57" t="s">
        <v>2</v>
      </c>
      <c r="C57" t="s">
        <v>3</v>
      </c>
      <c r="D57" t="s">
        <v>4</v>
      </c>
      <c r="E57" t="s">
        <v>5</v>
      </c>
    </row>
    <row r="58" spans="1:5" x14ac:dyDescent="0.2">
      <c r="A58">
        <v>0</v>
      </c>
      <c r="B58">
        <f>B36*(B14/100)</f>
        <v>0</v>
      </c>
      <c r="C58">
        <f t="shared" ref="C58:E58" si="2">C36*(C14/100)</f>
        <v>0</v>
      </c>
      <c r="D58">
        <f t="shared" si="2"/>
        <v>0</v>
      </c>
      <c r="E58">
        <f t="shared" si="2"/>
        <v>0</v>
      </c>
    </row>
    <row r="59" spans="1:5" x14ac:dyDescent="0.2">
      <c r="A59">
        <v>6</v>
      </c>
      <c r="B59">
        <f t="shared" ref="B59:E63" si="3">B37*(B15/100)</f>
        <v>10.900176814938062</v>
      </c>
      <c r="C59">
        <f t="shared" si="3"/>
        <v>10.900176814938062</v>
      </c>
      <c r="D59">
        <f t="shared" si="3"/>
        <v>10.900176814938062</v>
      </c>
      <c r="E59">
        <f t="shared" si="3"/>
        <v>10.900176814938062</v>
      </c>
    </row>
    <row r="60" spans="1:5" x14ac:dyDescent="0.2">
      <c r="A60">
        <v>9</v>
      </c>
      <c r="B60">
        <f t="shared" si="3"/>
        <v>25.232096705021721</v>
      </c>
      <c r="C60">
        <f t="shared" si="3"/>
        <v>25.232096705021721</v>
      </c>
      <c r="D60">
        <f t="shared" si="3"/>
        <v>25.232096705021721</v>
      </c>
      <c r="E60">
        <f t="shared" si="3"/>
        <v>25.232096705021721</v>
      </c>
    </row>
    <row r="61" spans="1:5" x14ac:dyDescent="0.2">
      <c r="A61">
        <v>13</v>
      </c>
      <c r="B61">
        <f t="shared" si="3"/>
        <v>42.191398300467384</v>
      </c>
      <c r="C61">
        <f t="shared" si="3"/>
        <v>43.262244851985017</v>
      </c>
      <c r="D61">
        <f t="shared" si="3"/>
        <v>42.191398300467384</v>
      </c>
      <c r="E61">
        <f t="shared" si="3"/>
        <v>43.262244851985017</v>
      </c>
    </row>
    <row r="62" spans="1:5" x14ac:dyDescent="0.2">
      <c r="A62">
        <v>16</v>
      </c>
      <c r="B62">
        <f t="shared" si="3"/>
        <v>53.718626561487056</v>
      </c>
      <c r="C62">
        <f t="shared" si="3"/>
        <v>52.744671719420985</v>
      </c>
      <c r="D62">
        <f t="shared" si="3"/>
        <v>25.919549918499374</v>
      </c>
      <c r="E62">
        <f t="shared" si="3"/>
        <v>25.775144979922814</v>
      </c>
    </row>
    <row r="63" spans="1:5" x14ac:dyDescent="0.2">
      <c r="A63">
        <v>20</v>
      </c>
      <c r="B63">
        <f t="shared" si="3"/>
        <v>66.414681985870871</v>
      </c>
      <c r="C63">
        <f t="shared" si="3"/>
        <v>63.190013606256606</v>
      </c>
      <c r="D63">
        <f t="shared" si="3"/>
        <v>50.852377232250511</v>
      </c>
      <c r="E63">
        <f t="shared" si="3"/>
        <v>26.609697305158729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treatment T cell percent</vt:lpstr>
      <vt:lpstr>treatment MDSC percent</vt:lpstr>
      <vt:lpstr>cancer percent (C = tumor-T-M)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Hannah G</dc:creator>
  <cp:lastModifiedBy>Anderson, Hannah G</cp:lastModifiedBy>
  <dcterms:created xsi:type="dcterms:W3CDTF">2025-03-06T19:25:31Z</dcterms:created>
  <dcterms:modified xsi:type="dcterms:W3CDTF">2026-02-23T23:26:22Z</dcterms:modified>
</cp:coreProperties>
</file>